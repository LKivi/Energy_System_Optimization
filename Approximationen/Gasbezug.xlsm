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filterPrivacy="1" codeName="DieseArbeitsmappe"/>
  <xr:revisionPtr revIDLastSave="1" documentId="11_E0D7E0C1313874DC438E55B4CE12E69A99A18297" xr6:coauthVersionLast="41" xr6:coauthVersionMax="41" xr10:uidLastSave="{AA670518-C069-4E20-AA64-83FFB2D4A60E}"/>
  <bookViews>
    <workbookView xWindow="-120" yWindow="-120" windowWidth="29040" windowHeight="15840" activeTab="2" xr2:uid="{00000000-000D-0000-FFFF-FFFF00000000}"/>
  </bookViews>
  <sheets>
    <sheet name="Tabelle" sheetId="2" r:id="rId1"/>
    <sheet name="Konstanten" sheetId="1" r:id="rId2"/>
    <sheet name="Diagramm" sheetId="3" r:id="rId3"/>
    <sheet name="konstante Mengen" sheetId="4" r:id="rId4"/>
  </sheets>
  <definedNames>
    <definedName name="solver_adj" localSheetId="0" hidden="1">Tabelle!$M$2:$M$3</definedName>
    <definedName name="solver_cvg" localSheetId="0" hidden="1">0.0001</definedName>
    <definedName name="solver_drv" localSheetId="0" hidden="1">1</definedName>
    <definedName name="solver_est" localSheetId="0" hidden="1">1</definedName>
    <definedName name="solver_itr" localSheetId="0" hidden="1">100</definedName>
    <definedName name="solver_lin" localSheetId="0" hidden="1">2</definedName>
    <definedName name="solver_neg" localSheetId="0" hidden="1">2</definedName>
    <definedName name="solver_num" localSheetId="0" hidden="1">0</definedName>
    <definedName name="solver_nwt" localSheetId="0" hidden="1">1</definedName>
    <definedName name="solver_opt" localSheetId="0" hidden="1">Tabelle!$M$4</definedName>
    <definedName name="solver_pre" localSheetId="0" hidden="1">0.000001</definedName>
    <definedName name="solver_scl" localSheetId="0" hidden="1">2</definedName>
    <definedName name="solver_sho" localSheetId="0" hidden="1">2</definedName>
    <definedName name="solver_tim" localSheetId="0" hidden="1">100</definedName>
    <definedName name="solver_tol" localSheetId="0" hidden="1">0.05</definedName>
    <definedName name="solver_typ" localSheetId="0" hidden="1">2</definedName>
    <definedName name="solver_val" localSheetId="0" hidden="1">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5" i="2" l="1"/>
  <c r="L15" i="2" s="1"/>
  <c r="K14" i="2"/>
  <c r="K11" i="2"/>
  <c r="I7" i="4"/>
  <c r="I8" i="4"/>
  <c r="I9" i="4"/>
  <c r="I10" i="4"/>
  <c r="I11" i="4"/>
  <c r="I12" i="4"/>
  <c r="I13" i="4"/>
  <c r="I14" i="4"/>
  <c r="I15" i="4"/>
  <c r="I6" i="4"/>
  <c r="H16" i="4"/>
  <c r="I16" i="4" s="1"/>
  <c r="F7" i="4"/>
  <c r="F8" i="4"/>
  <c r="F9" i="4"/>
  <c r="F10" i="4"/>
  <c r="F11" i="4"/>
  <c r="F12" i="4"/>
  <c r="F13" i="4"/>
  <c r="F14" i="4"/>
  <c r="F15" i="4"/>
  <c r="F6" i="4"/>
  <c r="E16" i="4"/>
  <c r="F16" i="4" s="1"/>
  <c r="C7" i="4"/>
  <c r="C8" i="4"/>
  <c r="C9" i="4"/>
  <c r="C10" i="4"/>
  <c r="C6" i="4"/>
  <c r="C11" i="4"/>
  <c r="C12" i="4"/>
  <c r="C13" i="4"/>
  <c r="C14" i="4"/>
  <c r="C15" i="4"/>
  <c r="B16" i="4"/>
  <c r="C16" i="4" s="1"/>
  <c r="H17" i="4" l="1"/>
  <c r="E17" i="4"/>
  <c r="B17" i="4"/>
  <c r="E18" i="4" l="1"/>
  <c r="F17" i="4"/>
  <c r="H18" i="4"/>
  <c r="I17" i="4"/>
  <c r="C17" i="4"/>
  <c r="B18" i="4"/>
  <c r="I18" i="4" l="1"/>
  <c r="H19" i="4"/>
  <c r="F18" i="4"/>
  <c r="E19" i="4"/>
  <c r="B19" i="4"/>
  <c r="C18" i="4"/>
  <c r="F19" i="4" l="1"/>
  <c r="E20" i="4"/>
  <c r="I19" i="4"/>
  <c r="H20" i="4"/>
  <c r="B20" i="4"/>
  <c r="C19" i="4"/>
  <c r="I20" i="4" l="1"/>
  <c r="H21" i="4"/>
  <c r="F20" i="4"/>
  <c r="E21" i="4"/>
  <c r="B21" i="4"/>
  <c r="C20" i="4"/>
  <c r="F21" i="4" l="1"/>
  <c r="E22" i="4"/>
  <c r="I21" i="4"/>
  <c r="H22" i="4"/>
  <c r="B22" i="4"/>
  <c r="C21" i="4"/>
  <c r="I22" i="4" l="1"/>
  <c r="H23" i="4"/>
  <c r="F22" i="4"/>
  <c r="E23" i="4"/>
  <c r="B23" i="4"/>
  <c r="C22" i="4"/>
  <c r="F23" i="4" l="1"/>
  <c r="E24" i="4"/>
  <c r="I23" i="4"/>
  <c r="H24" i="4"/>
  <c r="B24" i="4"/>
  <c r="C23" i="4"/>
  <c r="I24" i="4" l="1"/>
  <c r="H25" i="4"/>
  <c r="F24" i="4"/>
  <c r="E25" i="4"/>
  <c r="B25" i="4"/>
  <c r="C24" i="4"/>
  <c r="F25" i="4" l="1"/>
  <c r="E26" i="4"/>
  <c r="I25" i="4"/>
  <c r="H26" i="4"/>
  <c r="B26" i="4"/>
  <c r="C25" i="4"/>
  <c r="I26" i="4" l="1"/>
  <c r="H27" i="4"/>
  <c r="F26" i="4"/>
  <c r="E27" i="4"/>
  <c r="B27" i="4"/>
  <c r="C26" i="4"/>
  <c r="F27" i="4" l="1"/>
  <c r="E28" i="4"/>
  <c r="I27" i="4"/>
  <c r="H28" i="4"/>
  <c r="B28" i="4"/>
  <c r="C27" i="4"/>
  <c r="F28" i="4" l="1"/>
  <c r="E29" i="4"/>
  <c r="I28" i="4"/>
  <c r="H29" i="4"/>
  <c r="B29" i="4"/>
  <c r="C28" i="4"/>
  <c r="I29" i="4" l="1"/>
  <c r="H30" i="4"/>
  <c r="I30" i="4" s="1"/>
  <c r="F29" i="4"/>
  <c r="E30" i="4"/>
  <c r="F30" i="4" s="1"/>
  <c r="B30" i="4"/>
  <c r="C30" i="4" s="1"/>
  <c r="C29" i="4"/>
  <c r="K158" i="2" l="1"/>
  <c r="L158" i="2" s="1"/>
  <c r="K159" i="2"/>
  <c r="L159" i="2" s="1"/>
  <c r="K160" i="2"/>
  <c r="L160" i="2" s="1"/>
  <c r="K161" i="2"/>
  <c r="L161" i="2" s="1"/>
  <c r="K162" i="2"/>
  <c r="L162" i="2" s="1"/>
  <c r="K163" i="2"/>
  <c r="L163" i="2" s="1"/>
  <c r="K164" i="2"/>
  <c r="L164" i="2" s="1"/>
  <c r="K165" i="2"/>
  <c r="L165" i="2" s="1"/>
  <c r="K166" i="2"/>
  <c r="L166" i="2" s="1"/>
  <c r="K167" i="2"/>
  <c r="L167" i="2" s="1"/>
  <c r="K168" i="2"/>
  <c r="L168" i="2" s="1"/>
  <c r="K169" i="2"/>
  <c r="L169" i="2" s="1"/>
  <c r="K170" i="2"/>
  <c r="L170" i="2" s="1"/>
  <c r="K171" i="2"/>
  <c r="L171" i="2" s="1"/>
  <c r="K172" i="2"/>
  <c r="L172" i="2" s="1"/>
  <c r="K173" i="2"/>
  <c r="L173" i="2" s="1"/>
  <c r="K174" i="2"/>
  <c r="L174" i="2" s="1"/>
  <c r="K175" i="2"/>
  <c r="L175" i="2" s="1"/>
  <c r="K183" i="2"/>
  <c r="L183" i="2" s="1"/>
  <c r="K184" i="2"/>
  <c r="L184" i="2" s="1"/>
  <c r="K185" i="2"/>
  <c r="L185" i="2" s="1"/>
  <c r="K186" i="2"/>
  <c r="L186" i="2" s="1"/>
  <c r="K187" i="2"/>
  <c r="L187" i="2" s="1"/>
  <c r="K188" i="2"/>
  <c r="L188" i="2" s="1"/>
  <c r="K189" i="2"/>
  <c r="L189" i="2" s="1"/>
  <c r="K190" i="2"/>
  <c r="L190" i="2" s="1"/>
  <c r="K191" i="2"/>
  <c r="L191" i="2" s="1"/>
  <c r="K192" i="2"/>
  <c r="L192" i="2" s="1"/>
  <c r="K193" i="2"/>
  <c r="L193" i="2" s="1"/>
  <c r="K194" i="2"/>
  <c r="L194" i="2" s="1"/>
  <c r="K195" i="2"/>
  <c r="L195" i="2" s="1"/>
  <c r="K196" i="2"/>
  <c r="L196" i="2" s="1"/>
  <c r="K197" i="2"/>
  <c r="L197" i="2" s="1"/>
  <c r="K198" i="2"/>
  <c r="L198" i="2" s="1"/>
  <c r="K199" i="2"/>
  <c r="L199" i="2" s="1"/>
  <c r="K200" i="2"/>
  <c r="L200" i="2" s="1"/>
  <c r="K134" i="2" l="1"/>
  <c r="L134" i="2" s="1"/>
  <c r="K135" i="2"/>
  <c r="L135" i="2" s="1"/>
  <c r="K136" i="2"/>
  <c r="L136" i="2" s="1"/>
  <c r="K137" i="2"/>
  <c r="L137" i="2" s="1"/>
  <c r="K138" i="2"/>
  <c r="L138" i="2" s="1"/>
  <c r="K139" i="2"/>
  <c r="L139" i="2" s="1"/>
  <c r="K140" i="2"/>
  <c r="L140" i="2" s="1"/>
  <c r="K141" i="2"/>
  <c r="L141" i="2" s="1"/>
  <c r="K142" i="2"/>
  <c r="L142" i="2" s="1"/>
  <c r="K143" i="2"/>
  <c r="L143" i="2" s="1"/>
  <c r="K144" i="2"/>
  <c r="L144" i="2" s="1"/>
  <c r="K145" i="2"/>
  <c r="L145" i="2" s="1"/>
  <c r="K146" i="2"/>
  <c r="L146" i="2" s="1"/>
  <c r="K147" i="2"/>
  <c r="L147" i="2" s="1"/>
  <c r="K148" i="2"/>
  <c r="L148" i="2" s="1"/>
  <c r="K149" i="2"/>
  <c r="L149" i="2" s="1"/>
  <c r="K150" i="2"/>
  <c r="L150" i="2" s="1"/>
  <c r="K133" i="2"/>
  <c r="L133" i="2" s="1"/>
  <c r="K109" i="2"/>
  <c r="L109" i="2" s="1"/>
  <c r="K110" i="2"/>
  <c r="L110" i="2" s="1"/>
  <c r="K111" i="2"/>
  <c r="L111" i="2" s="1"/>
  <c r="K112" i="2"/>
  <c r="L112" i="2" s="1"/>
  <c r="K113" i="2"/>
  <c r="L113" i="2" s="1"/>
  <c r="K114" i="2"/>
  <c r="L114" i="2" s="1"/>
  <c r="K115" i="2"/>
  <c r="L115" i="2" s="1"/>
  <c r="K116" i="2"/>
  <c r="L116" i="2" s="1"/>
  <c r="K117" i="2"/>
  <c r="L117" i="2" s="1"/>
  <c r="K118" i="2"/>
  <c r="L118" i="2" s="1"/>
  <c r="K119" i="2"/>
  <c r="L119" i="2" s="1"/>
  <c r="K120" i="2"/>
  <c r="L120" i="2" s="1"/>
  <c r="K121" i="2"/>
  <c r="L121" i="2" s="1"/>
  <c r="K122" i="2"/>
  <c r="L122" i="2" s="1"/>
  <c r="K123" i="2"/>
  <c r="L123" i="2" s="1"/>
  <c r="K124" i="2"/>
  <c r="L124" i="2" s="1"/>
  <c r="K125" i="2"/>
  <c r="L125" i="2" s="1"/>
  <c r="K108" i="2"/>
  <c r="L108" i="2" s="1"/>
  <c r="K87" i="2"/>
  <c r="L87" i="2" s="1"/>
  <c r="K84" i="2"/>
  <c r="L84" i="2" s="1"/>
  <c r="K85" i="2"/>
  <c r="L85" i="2" s="1"/>
  <c r="K86" i="2"/>
  <c r="L86" i="2" s="1"/>
  <c r="K88" i="2"/>
  <c r="L88" i="2" s="1"/>
  <c r="K89" i="2"/>
  <c r="L89" i="2" s="1"/>
  <c r="K90" i="2"/>
  <c r="L90" i="2" s="1"/>
  <c r="K91" i="2"/>
  <c r="L91" i="2" s="1"/>
  <c r="K92" i="2"/>
  <c r="L92" i="2" s="1"/>
  <c r="K93" i="2"/>
  <c r="L93" i="2" s="1"/>
  <c r="K94" i="2"/>
  <c r="L94" i="2" s="1"/>
  <c r="K95" i="2"/>
  <c r="L95" i="2" s="1"/>
  <c r="K96" i="2"/>
  <c r="L96" i="2" s="1"/>
  <c r="K97" i="2"/>
  <c r="L97" i="2" s="1"/>
  <c r="K98" i="2"/>
  <c r="L98" i="2" s="1"/>
  <c r="K99" i="2"/>
  <c r="L99" i="2" s="1"/>
  <c r="K100" i="2"/>
  <c r="L100" i="2" s="1"/>
  <c r="K83" i="2"/>
  <c r="L83" i="2" s="1"/>
  <c r="K59" i="2"/>
  <c r="L59" i="2" s="1"/>
  <c r="K60" i="2"/>
  <c r="L60" i="2" s="1"/>
  <c r="K61" i="2"/>
  <c r="L61" i="2" s="1"/>
  <c r="K62" i="2"/>
  <c r="L62" i="2" s="1"/>
  <c r="K63" i="2"/>
  <c r="L63" i="2" s="1"/>
  <c r="K64" i="2"/>
  <c r="L64" i="2" s="1"/>
  <c r="K65" i="2"/>
  <c r="L65" i="2" s="1"/>
  <c r="K66" i="2"/>
  <c r="L66" i="2" s="1"/>
  <c r="K67" i="2"/>
  <c r="L67" i="2" s="1"/>
  <c r="K68" i="2"/>
  <c r="L68" i="2" s="1"/>
  <c r="K69" i="2"/>
  <c r="L69" i="2" s="1"/>
  <c r="K70" i="2"/>
  <c r="L70" i="2" s="1"/>
  <c r="K71" i="2"/>
  <c r="L71" i="2" s="1"/>
  <c r="K72" i="2"/>
  <c r="L72" i="2" s="1"/>
  <c r="K73" i="2"/>
  <c r="L73" i="2" s="1"/>
  <c r="K74" i="2"/>
  <c r="L74" i="2" s="1"/>
  <c r="K75" i="2"/>
  <c r="L75" i="2" s="1"/>
  <c r="K58" i="2"/>
  <c r="L58" i="2" s="1"/>
  <c r="K40" i="2"/>
  <c r="L40" i="2" s="1"/>
  <c r="K33" i="2"/>
  <c r="L33" i="2" s="1"/>
  <c r="K34" i="2"/>
  <c r="L34" i="2" s="1"/>
  <c r="K35" i="2"/>
  <c r="L35" i="2" s="1"/>
  <c r="K36" i="2"/>
  <c r="L36" i="2" s="1"/>
  <c r="K37" i="2"/>
  <c r="L37" i="2" s="1"/>
  <c r="K38" i="2"/>
  <c r="L38" i="2" s="1"/>
  <c r="K39" i="2"/>
  <c r="L39" i="2" s="1"/>
  <c r="K41" i="2"/>
  <c r="L41" i="2" s="1"/>
  <c r="K42" i="2"/>
  <c r="L42" i="2" s="1"/>
  <c r="K43" i="2"/>
  <c r="L43" i="2" s="1"/>
  <c r="K44" i="2"/>
  <c r="L44" i="2" s="1"/>
  <c r="K45" i="2"/>
  <c r="L45" i="2" s="1"/>
  <c r="K46" i="2"/>
  <c r="L46" i="2" s="1"/>
  <c r="K47" i="2"/>
  <c r="L47" i="2" s="1"/>
  <c r="K48" i="2"/>
  <c r="L48" i="2" s="1"/>
  <c r="K49" i="2"/>
  <c r="L49" i="2" s="1"/>
  <c r="K50" i="2"/>
  <c r="L50" i="2" s="1"/>
  <c r="K13" i="2"/>
  <c r="L13" i="2" s="1"/>
  <c r="K19" i="2"/>
  <c r="L19" i="2" s="1"/>
  <c r="K10" i="2"/>
  <c r="L10" i="2" s="1"/>
  <c r="K9" i="2"/>
  <c r="L9" i="2" s="1"/>
  <c r="L11" i="2"/>
  <c r="K12" i="2"/>
  <c r="L12" i="2" s="1"/>
  <c r="L14" i="2"/>
  <c r="K16" i="2"/>
  <c r="L16" i="2" s="1"/>
  <c r="K17" i="2"/>
  <c r="L17" i="2" s="1"/>
  <c r="K18" i="2"/>
  <c r="L18" i="2" s="1"/>
  <c r="K20" i="2"/>
  <c r="L20" i="2" s="1"/>
  <c r="K21" i="2"/>
  <c r="L21" i="2" s="1"/>
  <c r="K22" i="2"/>
  <c r="L22" i="2" s="1"/>
  <c r="K23" i="2"/>
  <c r="L23" i="2" s="1"/>
  <c r="K24" i="2"/>
  <c r="L24" i="2" s="1"/>
  <c r="K25" i="2"/>
  <c r="L25" i="2" s="1"/>
  <c r="K8" i="2"/>
  <c r="L8" i="2" s="1"/>
  <c r="M4" i="2" l="1"/>
</calcChain>
</file>

<file path=xl/sharedStrings.xml><?xml version="1.0" encoding="utf-8"?>
<sst xmlns="http://schemas.openxmlformats.org/spreadsheetml/2006/main" count="207" uniqueCount="38">
  <si>
    <t>Netznutzung Arbeitspreis</t>
  </si>
  <si>
    <t>von kWh</t>
  </si>
  <si>
    <t>ct/kWh</t>
  </si>
  <si>
    <t>Zone</t>
  </si>
  <si>
    <t>bis einschließlich kWh</t>
  </si>
  <si>
    <t>Netznutzung Leistungspreis</t>
  </si>
  <si>
    <t>von kW</t>
  </si>
  <si>
    <t>bis einschließlich kW</t>
  </si>
  <si>
    <t>EUR/kW</t>
  </si>
  <si>
    <t>Messstellenbetrieb</t>
  </si>
  <si>
    <t>EUR/a</t>
  </si>
  <si>
    <t>Leistung bis einschließlich kW</t>
  </si>
  <si>
    <t>Zusatzgeräte + jährliche Ablesung EUR/a</t>
  </si>
  <si>
    <t>Beschaffung &amp; Vertrieb ct/kWh</t>
  </si>
  <si>
    <t>Erdgassteuer ct/kWh</t>
  </si>
  <si>
    <t>Konzessiobsabgabe ct/kWh</t>
  </si>
  <si>
    <t>&lt; 5 Mio kWh/a</t>
  </si>
  <si>
    <t>&gt; 5 Mio kWh/a</t>
  </si>
  <si>
    <t>wikipedia -&gt; Energiemarktplatz</t>
  </si>
  <si>
    <t>wikipedia</t>
  </si>
  <si>
    <t>Anschlussleistung kW</t>
  </si>
  <si>
    <t>Leistungspreiszone</t>
  </si>
  <si>
    <t>Volllaststunden h/a</t>
  </si>
  <si>
    <t>Energiemenge kWh/a</t>
  </si>
  <si>
    <t>Arbeitspreiszone</t>
  </si>
  <si>
    <t>Leistungspreis Netznutzung kEUR/a</t>
  </si>
  <si>
    <t>Arbeitsspreis Netznutzung kEUR/a</t>
  </si>
  <si>
    <t>Restliche Kosten kEUR/a</t>
  </si>
  <si>
    <t>Gesamtkosten kEUR/a</t>
  </si>
  <si>
    <t>spezifische Gesamtkosten ct/kWh</t>
  </si>
  <si>
    <t>a EUR/kW</t>
  </si>
  <si>
    <t>b ct/kWh</t>
  </si>
  <si>
    <t>a*Leistung + b*Menge kEUR</t>
  </si>
  <si>
    <t>Fehlerquadrat</t>
  </si>
  <si>
    <t>Summe Fehler</t>
  </si>
  <si>
    <t>Volllaststunden</t>
  </si>
  <si>
    <t>kEUR</t>
  </si>
  <si>
    <t xml:space="preserve">Grenzübergangspreis 2017 BDEW + 0,3 ct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</si>
</sst>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1" fontId="0" fillId="0" borderId="0" xfId="0" applyNumberFormat="1" applyAlignment="1">
      <alignment horizontal="right"/>
    </xf>
    <xf numFmtId="11" fontId="0" fillId="0" borderId="0" xfId="0" applyNumberFormat="1"/>
    <xf numFmtId="2" fontId="0" fillId="0" borderId="0" xfId="0" applyNumberFormat="1"/>
  </cellXfs>
  <cellStyles count="1"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chartsheet" Target="chartsheets/sheet1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3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750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Tabelle!$H$8:$H$25</c:f>
              <c:numCache>
                <c:formatCode>0.00</c:formatCode>
                <c:ptCount val="18"/>
                <c:pt idx="0">
                  <c:v>11.469305004116</c:v>
                </c:pt>
                <c:pt idx="1">
                  <c:v>22.687805004116001</c:v>
                </c:pt>
                <c:pt idx="2">
                  <c:v>33.843055004115996</c:v>
                </c:pt>
                <c:pt idx="3">
                  <c:v>44.966680004116</c:v>
                </c:pt>
                <c:pt idx="4">
                  <c:v>56.017055004115996</c:v>
                </c:pt>
                <c:pt idx="5">
                  <c:v>67.03080500411599</c:v>
                </c:pt>
                <c:pt idx="6">
                  <c:v>78.044555004115992</c:v>
                </c:pt>
                <c:pt idx="7">
                  <c:v>89.058305004116008</c:v>
                </c:pt>
                <c:pt idx="8">
                  <c:v>100.072055004116</c:v>
                </c:pt>
                <c:pt idx="9">
                  <c:v>110.96280500411599</c:v>
                </c:pt>
                <c:pt idx="10">
                  <c:v>121.853555004116</c:v>
                </c:pt>
                <c:pt idx="11">
                  <c:v>132.744305004116</c:v>
                </c:pt>
                <c:pt idx="12">
                  <c:v>143.635055004116</c:v>
                </c:pt>
                <c:pt idx="13">
                  <c:v>154.52580500411599</c:v>
                </c:pt>
                <c:pt idx="14">
                  <c:v>163.841555004116</c:v>
                </c:pt>
                <c:pt idx="15">
                  <c:v>174.61980500411599</c:v>
                </c:pt>
                <c:pt idx="16">
                  <c:v>185.398055004116</c:v>
                </c:pt>
                <c:pt idx="17">
                  <c:v>196.10805500411601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44C-42F8-9162-D90417F92717}"/>
            </c:ext>
          </c:extLst>
        </c:ser>
        <c:ser>
          <c:idx val="1"/>
          <c:order val="1"/>
          <c:tx>
            <c:v>1500 kW</c:v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Tabelle!$H$33:$H$50</c:f>
              <c:numCache>
                <c:formatCode>0.00</c:formatCode>
                <c:ptCount val="18"/>
                <c:pt idx="0">
                  <c:v>20.561605004115997</c:v>
                </c:pt>
                <c:pt idx="1">
                  <c:v>42.935355004115998</c:v>
                </c:pt>
                <c:pt idx="2">
                  <c:v>65.109355004115997</c:v>
                </c:pt>
                <c:pt idx="3">
                  <c:v>87.136855004115986</c:v>
                </c:pt>
                <c:pt idx="4">
                  <c:v>109.164355004116</c:v>
                </c:pt>
                <c:pt idx="5">
                  <c:v>130.945855004116</c:v>
                </c:pt>
                <c:pt idx="6">
                  <c:v>152.72735500411599</c:v>
                </c:pt>
                <c:pt idx="7">
                  <c:v>172.933855004116</c:v>
                </c:pt>
                <c:pt idx="8">
                  <c:v>194.490355004116</c:v>
                </c:pt>
                <c:pt idx="9">
                  <c:v>215.91035500411601</c:v>
                </c:pt>
                <c:pt idx="10">
                  <c:v>237.26735500411601</c:v>
                </c:pt>
                <c:pt idx="11">
                  <c:v>258.59285500411602</c:v>
                </c:pt>
                <c:pt idx="12">
                  <c:v>279.91835500411599</c:v>
                </c:pt>
                <c:pt idx="13">
                  <c:v>301.24385500411597</c:v>
                </c:pt>
                <c:pt idx="14">
                  <c:v>322.48035500411595</c:v>
                </c:pt>
                <c:pt idx="15">
                  <c:v>343.67235500411596</c:v>
                </c:pt>
                <c:pt idx="16">
                  <c:v>364.86435500411596</c:v>
                </c:pt>
                <c:pt idx="17">
                  <c:v>386.05635500411597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44C-42F8-9162-D90417F92717}"/>
            </c:ext>
          </c:extLst>
        </c:ser>
        <c:ser>
          <c:idx val="2"/>
          <c:order val="2"/>
          <c:tx>
            <c:v>750 kW Gerade</c:v>
          </c:tx>
          <c:spPr>
            <a:ln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Tabelle!$B$8:$B$25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Tabelle!$K$8:$K$25</c:f>
              <c:numCache>
                <c:formatCode>0.00</c:formatCode>
                <c:ptCount val="18"/>
                <c:pt idx="0">
                  <c:v>9.1117486681158955</c:v>
                </c:pt>
                <c:pt idx="1">
                  <c:v>19.700685570478143</c:v>
                </c:pt>
                <c:pt idx="2">
                  <c:v>30.289622472840385</c:v>
                </c:pt>
                <c:pt idx="3">
                  <c:v>40.878559375202627</c:v>
                </c:pt>
                <c:pt idx="4">
                  <c:v>51.467496277564877</c:v>
                </c:pt>
                <c:pt idx="5">
                  <c:v>62.056433179927112</c:v>
                </c:pt>
                <c:pt idx="6">
                  <c:v>72.645370082289361</c:v>
                </c:pt>
                <c:pt idx="7">
                  <c:v>83.23430698465161</c:v>
                </c:pt>
                <c:pt idx="8">
                  <c:v>93.823243887013859</c:v>
                </c:pt>
                <c:pt idx="9">
                  <c:v>104.41218078937609</c:v>
                </c:pt>
                <c:pt idx="10">
                  <c:v>115.00111769173833</c:v>
                </c:pt>
                <c:pt idx="11">
                  <c:v>125.59005459410059</c:v>
                </c:pt>
                <c:pt idx="12">
                  <c:v>136.17899149646283</c:v>
                </c:pt>
                <c:pt idx="13">
                  <c:v>146.76792839882506</c:v>
                </c:pt>
                <c:pt idx="14">
                  <c:v>157.35686530118733</c:v>
                </c:pt>
                <c:pt idx="15">
                  <c:v>167.94580220354956</c:v>
                </c:pt>
                <c:pt idx="16">
                  <c:v>178.53473910591183</c:v>
                </c:pt>
                <c:pt idx="17">
                  <c:v>189.12367600827403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44C-42F8-9162-D90417F92717}"/>
            </c:ext>
          </c:extLst>
        </c:ser>
        <c:ser>
          <c:idx val="3"/>
          <c:order val="3"/>
          <c:tx>
            <c:v>1500 kW Gerade</c:v>
          </c:tx>
          <c:spPr>
            <a:ln>
              <a:solidFill>
                <a:prstClr val="black"/>
              </a:solidFill>
            </a:ln>
          </c:spPr>
          <c:marker>
            <c:symbol val="none"/>
          </c:marker>
          <c:xVal>
            <c:numRef>
              <c:f>Tabelle!$B$33:$B$50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Tabelle!$K$33:$K$50</c:f>
              <c:numCache>
                <c:formatCode>0.00</c:formatCode>
                <c:ptCount val="18"/>
                <c:pt idx="0">
                  <c:v>18.223497336231791</c:v>
                </c:pt>
                <c:pt idx="1">
                  <c:v>39.401371140956286</c:v>
                </c:pt>
                <c:pt idx="2">
                  <c:v>60.57924494568077</c:v>
                </c:pt>
                <c:pt idx="3">
                  <c:v>81.757118750405255</c:v>
                </c:pt>
                <c:pt idx="4">
                  <c:v>102.93499255512975</c:v>
                </c:pt>
                <c:pt idx="5">
                  <c:v>124.11286635985422</c:v>
                </c:pt>
                <c:pt idx="6">
                  <c:v>145.29074016457872</c:v>
                </c:pt>
                <c:pt idx="7">
                  <c:v>166.46861396930322</c:v>
                </c:pt>
                <c:pt idx="8">
                  <c:v>187.64648777402772</c:v>
                </c:pt>
                <c:pt idx="9">
                  <c:v>208.82436157875219</c:v>
                </c:pt>
                <c:pt idx="10">
                  <c:v>230.00223538347666</c:v>
                </c:pt>
                <c:pt idx="11">
                  <c:v>251.18010918820119</c:v>
                </c:pt>
                <c:pt idx="12">
                  <c:v>272.35798299292566</c:v>
                </c:pt>
                <c:pt idx="13">
                  <c:v>293.53585679765013</c:v>
                </c:pt>
                <c:pt idx="14">
                  <c:v>314.71373060237465</c:v>
                </c:pt>
                <c:pt idx="15">
                  <c:v>335.89160440709912</c:v>
                </c:pt>
                <c:pt idx="16">
                  <c:v>357.06947821182365</c:v>
                </c:pt>
                <c:pt idx="17">
                  <c:v>378.24735201654806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44C-42F8-9162-D90417F92717}"/>
            </c:ext>
          </c:extLst>
        </c:ser>
        <c:ser>
          <c:idx val="4"/>
          <c:order val="4"/>
          <c:tx>
            <c:v>6000 kW</c:v>
          </c:tx>
          <c:spPr>
            <a:ln w="19050">
              <a:noFill/>
            </a:ln>
          </c:spPr>
          <c:marker>
            <c:symbol val="diamond"/>
            <c:size val="8"/>
            <c:spPr>
              <a:ln>
                <a:noFill/>
              </a:ln>
            </c:spPr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Tabelle!$H$183:$H$200</c:f>
              <c:numCache>
                <c:formatCode>0.00</c:formatCode>
                <c:ptCount val="18"/>
                <c:pt idx="0">
                  <c:v>64.071055004115991</c:v>
                </c:pt>
                <c:pt idx="1">
                  <c:v>152.67380500411599</c:v>
                </c:pt>
                <c:pt idx="2">
                  <c:v>237.99980500411598</c:v>
                </c:pt>
                <c:pt idx="3">
                  <c:v>323.42780500411595</c:v>
                </c:pt>
                <c:pt idx="4">
                  <c:v>408.37380500411598</c:v>
                </c:pt>
                <c:pt idx="5">
                  <c:v>493.14180500411601</c:v>
                </c:pt>
                <c:pt idx="6">
                  <c:v>577.46880500411589</c:v>
                </c:pt>
                <c:pt idx="7">
                  <c:v>661.79680500411598</c:v>
                </c:pt>
                <c:pt idx="8">
                  <c:v>746.12680500411602</c:v>
                </c:pt>
                <c:pt idx="9">
                  <c:v>830.45680500411595</c:v>
                </c:pt>
                <c:pt idx="10">
                  <c:v>914.78680500411599</c:v>
                </c:pt>
                <c:pt idx="11">
                  <c:v>999.11680500411603</c:v>
                </c:pt>
                <c:pt idx="12">
                  <c:v>1083.446805004116</c:v>
                </c:pt>
                <c:pt idx="13">
                  <c:v>1167.7768050041159</c:v>
                </c:pt>
                <c:pt idx="14">
                  <c:v>1252.1068050041158</c:v>
                </c:pt>
                <c:pt idx="15">
                  <c:v>1336.436805004116</c:v>
                </c:pt>
                <c:pt idx="16">
                  <c:v>1420.7668050041159</c:v>
                </c:pt>
                <c:pt idx="17">
                  <c:v>1505.0968050041158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44C-42F8-9162-D90417F92717}"/>
            </c:ext>
          </c:extLst>
        </c:ser>
        <c:ser>
          <c:idx val="5"/>
          <c:order val="5"/>
          <c:tx>
            <c:v>6000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Tabelle!$B$183:$B$200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Tabelle!$K$183:$K$200</c:f>
              <c:numCache>
                <c:formatCode>0.00</c:formatCode>
                <c:ptCount val="18"/>
                <c:pt idx="0">
                  <c:v>72.893989344927164</c:v>
                </c:pt>
                <c:pt idx="1">
                  <c:v>157.60548456382514</c:v>
                </c:pt>
                <c:pt idx="2">
                  <c:v>242.31697978272308</c:v>
                </c:pt>
                <c:pt idx="3">
                  <c:v>327.02847500162102</c:v>
                </c:pt>
                <c:pt idx="4">
                  <c:v>411.73997022051901</c:v>
                </c:pt>
                <c:pt idx="5">
                  <c:v>496.45146543941689</c:v>
                </c:pt>
                <c:pt idx="6">
                  <c:v>581.16296065831489</c:v>
                </c:pt>
                <c:pt idx="7">
                  <c:v>665.87445587721288</c:v>
                </c:pt>
                <c:pt idx="8">
                  <c:v>750.58595109611088</c:v>
                </c:pt>
                <c:pt idx="9">
                  <c:v>835.29744631500876</c:v>
                </c:pt>
                <c:pt idx="10">
                  <c:v>920.00894153390664</c:v>
                </c:pt>
                <c:pt idx="11">
                  <c:v>1004.7204367528047</c:v>
                </c:pt>
                <c:pt idx="12">
                  <c:v>1089.4319319717026</c:v>
                </c:pt>
                <c:pt idx="13">
                  <c:v>1174.1434271906005</c:v>
                </c:pt>
                <c:pt idx="14">
                  <c:v>1258.8549224094986</c:v>
                </c:pt>
                <c:pt idx="15">
                  <c:v>1343.5664176283965</c:v>
                </c:pt>
                <c:pt idx="16">
                  <c:v>1428.2779128472946</c:v>
                </c:pt>
                <c:pt idx="17">
                  <c:v>1512.9894080661923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544C-42F8-9162-D90417F92717}"/>
            </c:ext>
          </c:extLst>
        </c:ser>
        <c:ser>
          <c:idx val="6"/>
          <c:order val="6"/>
          <c:tx>
            <c:v>3000 kW</c:v>
          </c:tx>
          <c:spPr>
            <a:ln w="19050">
              <a:noFill/>
            </a:ln>
          </c:spPr>
          <c:marker>
            <c:symbol val="diamond"/>
            <c:size val="8"/>
            <c:spPr>
              <a:solidFill>
                <a:srgbClr val="0070C0"/>
              </a:solidFill>
              <a:ln>
                <a:noFill/>
              </a:ln>
            </c:spPr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Tabelle!$H$83:$H$100</c:f>
              <c:numCache>
                <c:formatCode>0.00</c:formatCode>
                <c:ptCount val="18"/>
                <c:pt idx="0">
                  <c:v>36.578455004116002</c:v>
                </c:pt>
                <c:pt idx="1">
                  <c:v>81.126205004116002</c:v>
                </c:pt>
                <c:pt idx="2">
                  <c:v>125.18120500411601</c:v>
                </c:pt>
                <c:pt idx="3">
                  <c:v>168.74420500411597</c:v>
                </c:pt>
                <c:pt idx="4">
                  <c:v>210.507205004116</c:v>
                </c:pt>
                <c:pt idx="5">
                  <c:v>253.28420500411602</c:v>
                </c:pt>
                <c:pt idx="6">
                  <c:v>295.93520500411597</c:v>
                </c:pt>
                <c:pt idx="7">
                  <c:v>338.49720500411604</c:v>
                </c:pt>
                <c:pt idx="8">
                  <c:v>380.881205004116</c:v>
                </c:pt>
                <c:pt idx="9">
                  <c:v>423.26520500411601</c:v>
                </c:pt>
                <c:pt idx="10">
                  <c:v>465.64920500411603</c:v>
                </c:pt>
                <c:pt idx="11">
                  <c:v>507.81270500411603</c:v>
                </c:pt>
                <c:pt idx="12">
                  <c:v>549.97620500411597</c:v>
                </c:pt>
                <c:pt idx="13">
                  <c:v>592.13970500411597</c:v>
                </c:pt>
                <c:pt idx="14">
                  <c:v>634.30420500411606</c:v>
                </c:pt>
                <c:pt idx="15">
                  <c:v>676.46920500411602</c:v>
                </c:pt>
                <c:pt idx="16">
                  <c:v>718.63420500411598</c:v>
                </c:pt>
                <c:pt idx="17">
                  <c:v>760.79920500411595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7-5523-4E4E-995C-F58B92CBB181}"/>
            </c:ext>
          </c:extLst>
        </c:ser>
        <c:ser>
          <c:idx val="7"/>
          <c:order val="7"/>
          <c:tx>
            <c:v>3000 kW Gerade</c:v>
          </c:tx>
          <c:spPr>
            <a:ln w="19050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Tabelle!$B$83:$B$100</c:f>
              <c:numCache>
                <c:formatCode>General</c:formatCode>
                <c:ptCount val="18"/>
                <c:pt idx="0">
                  <c:v>0</c:v>
                </c:pt>
                <c:pt idx="1">
                  <c:v>500</c:v>
                </c:pt>
                <c:pt idx="2">
                  <c:v>1000</c:v>
                </c:pt>
                <c:pt idx="3">
                  <c:v>1500</c:v>
                </c:pt>
                <c:pt idx="4">
                  <c:v>2000</c:v>
                </c:pt>
                <c:pt idx="5">
                  <c:v>2500</c:v>
                </c:pt>
                <c:pt idx="6">
                  <c:v>3000</c:v>
                </c:pt>
                <c:pt idx="7">
                  <c:v>3500</c:v>
                </c:pt>
                <c:pt idx="8">
                  <c:v>4000</c:v>
                </c:pt>
                <c:pt idx="9">
                  <c:v>4500</c:v>
                </c:pt>
                <c:pt idx="10">
                  <c:v>5000</c:v>
                </c:pt>
                <c:pt idx="11">
                  <c:v>5500</c:v>
                </c:pt>
                <c:pt idx="12">
                  <c:v>6000</c:v>
                </c:pt>
                <c:pt idx="13">
                  <c:v>6500</c:v>
                </c:pt>
                <c:pt idx="14">
                  <c:v>7000</c:v>
                </c:pt>
                <c:pt idx="15">
                  <c:v>7500</c:v>
                </c:pt>
                <c:pt idx="16">
                  <c:v>8000</c:v>
                </c:pt>
                <c:pt idx="17">
                  <c:v>8500</c:v>
                </c:pt>
              </c:numCache>
            </c:numRef>
          </c:xVal>
          <c:yVal>
            <c:numRef>
              <c:f>Tabelle!$K$83:$K$100</c:f>
              <c:numCache>
                <c:formatCode>0.00</c:formatCode>
                <c:ptCount val="18"/>
                <c:pt idx="0">
                  <c:v>36.446994672463582</c:v>
                </c:pt>
                <c:pt idx="1">
                  <c:v>78.802742281912572</c:v>
                </c:pt>
                <c:pt idx="2">
                  <c:v>121.15848989136154</c:v>
                </c:pt>
                <c:pt idx="3">
                  <c:v>163.51423750081051</c:v>
                </c:pt>
                <c:pt idx="4">
                  <c:v>205.86998511025951</c:v>
                </c:pt>
                <c:pt idx="5">
                  <c:v>248.22573271970845</c:v>
                </c:pt>
                <c:pt idx="6">
                  <c:v>290.58148032915744</c:v>
                </c:pt>
                <c:pt idx="7">
                  <c:v>332.93722793860644</c:v>
                </c:pt>
                <c:pt idx="8">
                  <c:v>375.29297554805544</c:v>
                </c:pt>
                <c:pt idx="9">
                  <c:v>417.64872315750438</c:v>
                </c:pt>
                <c:pt idx="10">
                  <c:v>460.00447076695332</c:v>
                </c:pt>
                <c:pt idx="11">
                  <c:v>502.36021837640237</c:v>
                </c:pt>
                <c:pt idx="12">
                  <c:v>544.71596598585131</c:v>
                </c:pt>
                <c:pt idx="13">
                  <c:v>587.07171359530025</c:v>
                </c:pt>
                <c:pt idx="14">
                  <c:v>629.42746120474931</c:v>
                </c:pt>
                <c:pt idx="15">
                  <c:v>671.78320881419825</c:v>
                </c:pt>
                <c:pt idx="16">
                  <c:v>714.1389564236473</c:v>
                </c:pt>
                <c:pt idx="17">
                  <c:v>756.49470403309613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5523-4E4E-995C-F58B92CBB181}"/>
            </c:ext>
          </c:extLst>
        </c:ser>
        <c:ser>
          <c:idx val="8"/>
          <c:order val="8"/>
          <c:tx>
            <c:v>1000000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Mengen'!$B$6:$B$30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Mengen'!$C$6:$C$30</c:f>
              <c:numCache>
                <c:formatCode>General</c:formatCode>
                <c:ptCount val="25"/>
                <c:pt idx="0">
                  <c:v>36531.706167682474</c:v>
                </c:pt>
                <c:pt idx="1">
                  <c:v>1542.5912821174411</c:v>
                </c:pt>
                <c:pt idx="2">
                  <c:v>813.65138866816949</c:v>
                </c:pt>
                <c:pt idx="3">
                  <c:v>570.67142418507899</c:v>
                </c:pt>
                <c:pt idx="4">
                  <c:v>449.18144194353374</c:v>
                </c:pt>
                <c:pt idx="5">
                  <c:v>266.94646858121587</c:v>
                </c:pt>
                <c:pt idx="6">
                  <c:v>206.20147746044324</c:v>
                </c:pt>
                <c:pt idx="7">
                  <c:v>175.8289819000569</c:v>
                </c:pt>
                <c:pt idx="8">
                  <c:v>157.60548456382512</c:v>
                </c:pt>
                <c:pt idx="9">
                  <c:v>133.30748811551607</c:v>
                </c:pt>
                <c:pt idx="10">
                  <c:v>121.15848989136154</c:v>
                </c:pt>
                <c:pt idx="11">
                  <c:v>109.009491667207</c:v>
                </c:pt>
                <c:pt idx="12">
                  <c:v>102.93499255512974</c:v>
                </c:pt>
                <c:pt idx="13">
                  <c:v>99.290293087883384</c:v>
                </c:pt>
                <c:pt idx="14">
                  <c:v>96.860493443052476</c:v>
                </c:pt>
                <c:pt idx="15">
                  <c:v>95.12492226817325</c:v>
                </c:pt>
                <c:pt idx="16">
                  <c:v>93.823243887013859</c:v>
                </c:pt>
                <c:pt idx="17">
                  <c:v>92.810827368334301</c:v>
                </c:pt>
                <c:pt idx="18">
                  <c:v>92.000894153390675</c:v>
                </c:pt>
                <c:pt idx="19">
                  <c:v>91.338221522982238</c:v>
                </c:pt>
                <c:pt idx="20">
                  <c:v>90.785994330975214</c:v>
                </c:pt>
                <c:pt idx="21">
                  <c:v>90.31872516850774</c:v>
                </c:pt>
                <c:pt idx="22">
                  <c:v>89.918208743535601</c:v>
                </c:pt>
                <c:pt idx="23">
                  <c:v>89.571094508559767</c:v>
                </c:pt>
                <c:pt idx="24">
                  <c:v>89.267369552955898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5523-4E4E-995C-F58B92CBB181}"/>
            </c:ext>
          </c:extLst>
        </c:ser>
        <c:ser>
          <c:idx val="9"/>
          <c:order val="9"/>
          <c:tx>
            <c:v>5000000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Mengen'!$E$6:$E$30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Mengen'!$F$6:$F$30</c:f>
              <c:numCache>
                <c:formatCode>General</c:formatCode>
                <c:ptCount val="25"/>
                <c:pt idx="0">
                  <c:v>85240.647724592447</c:v>
                </c:pt>
                <c:pt idx="1">
                  <c:v>3599.3796582740292</c:v>
                </c:pt>
                <c:pt idx="2">
                  <c:v>1898.5199068923955</c:v>
                </c:pt>
                <c:pt idx="3">
                  <c:v>1331.566656431851</c:v>
                </c:pt>
                <c:pt idx="4">
                  <c:v>1048.0900312015788</c:v>
                </c:pt>
                <c:pt idx="5">
                  <c:v>622.87509335617028</c:v>
                </c:pt>
                <c:pt idx="6">
                  <c:v>481.13678074103422</c:v>
                </c:pt>
                <c:pt idx="7">
                  <c:v>410.2676244334661</c:v>
                </c:pt>
                <c:pt idx="8">
                  <c:v>367.74613064892526</c:v>
                </c:pt>
                <c:pt idx="9">
                  <c:v>311.05080560287081</c:v>
                </c:pt>
                <c:pt idx="10">
                  <c:v>282.70314307984358</c:v>
                </c:pt>
                <c:pt idx="11">
                  <c:v>254.35548055681636</c:v>
                </c:pt>
                <c:pt idx="12">
                  <c:v>240.18164929530272</c:v>
                </c:pt>
                <c:pt idx="13">
                  <c:v>231.67735053839456</c:v>
                </c:pt>
                <c:pt idx="14">
                  <c:v>226.00781803378914</c:v>
                </c:pt>
                <c:pt idx="15">
                  <c:v>221.95815195907093</c:v>
                </c:pt>
                <c:pt idx="16">
                  <c:v>218.92090240303233</c:v>
                </c:pt>
                <c:pt idx="17">
                  <c:v>216.55859719278004</c:v>
                </c:pt>
                <c:pt idx="18">
                  <c:v>214.66875302457825</c:v>
                </c:pt>
                <c:pt idx="19">
                  <c:v>213.12251688695855</c:v>
                </c:pt>
                <c:pt idx="20">
                  <c:v>211.83398677227552</c:v>
                </c:pt>
                <c:pt idx="21">
                  <c:v>210.74369205985138</c:v>
                </c:pt>
                <c:pt idx="22">
                  <c:v>209.80915373491641</c:v>
                </c:pt>
                <c:pt idx="23">
                  <c:v>208.99922051997279</c:v>
                </c:pt>
                <c:pt idx="24">
                  <c:v>208.29052895689711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A-5523-4E4E-995C-F58B92CBB181}"/>
            </c:ext>
          </c:extLst>
        </c:ser>
        <c:ser>
          <c:idx val="10"/>
          <c:order val="10"/>
          <c:tx>
            <c:v>7500000 kWh</c:v>
          </c:tx>
          <c:spPr>
            <a:ln w="1905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'konstante Mengen'!$H$6:$H$30</c:f>
              <c:numCache>
                <c:formatCode>General</c:formatCode>
                <c:ptCount val="25"/>
                <c:pt idx="0">
                  <c:v>1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200</c:v>
                </c:pt>
                <c:pt idx="6">
                  <c:v>300</c:v>
                </c:pt>
                <c:pt idx="7">
                  <c:v>400</c:v>
                </c:pt>
                <c:pt idx="8">
                  <c:v>500</c:v>
                </c:pt>
                <c:pt idx="9">
                  <c:v>750</c:v>
                </c:pt>
                <c:pt idx="10">
                  <c:v>1000</c:v>
                </c:pt>
                <c:pt idx="11">
                  <c:v>1500</c:v>
                </c:pt>
                <c:pt idx="12">
                  <c:v>2000</c:v>
                </c:pt>
                <c:pt idx="13">
                  <c:v>2500</c:v>
                </c:pt>
                <c:pt idx="14">
                  <c:v>3000</c:v>
                </c:pt>
                <c:pt idx="15">
                  <c:v>3500</c:v>
                </c:pt>
                <c:pt idx="16">
                  <c:v>4000</c:v>
                </c:pt>
                <c:pt idx="17">
                  <c:v>4500</c:v>
                </c:pt>
                <c:pt idx="18">
                  <c:v>5000</c:v>
                </c:pt>
                <c:pt idx="19">
                  <c:v>5500</c:v>
                </c:pt>
                <c:pt idx="20">
                  <c:v>6000</c:v>
                </c:pt>
                <c:pt idx="21">
                  <c:v>6500</c:v>
                </c:pt>
                <c:pt idx="22">
                  <c:v>7000</c:v>
                </c:pt>
                <c:pt idx="23">
                  <c:v>7500</c:v>
                </c:pt>
                <c:pt idx="24">
                  <c:v>8000</c:v>
                </c:pt>
              </c:numCache>
            </c:numRef>
          </c:xVal>
          <c:yVal>
            <c:numRef>
              <c:f>'konstante Mengen'!$I$6:$I$30</c:f>
              <c:numCache>
                <c:formatCode>General</c:formatCode>
                <c:ptCount val="25"/>
                <c:pt idx="0">
                  <c:v>146126.8246707299</c:v>
                </c:pt>
                <c:pt idx="1">
                  <c:v>6170.3651284697644</c:v>
                </c:pt>
                <c:pt idx="2">
                  <c:v>3254.605554672678</c:v>
                </c:pt>
                <c:pt idx="3">
                  <c:v>2282.685696740316</c:v>
                </c:pt>
                <c:pt idx="4">
                  <c:v>1796.725767774135</c:v>
                </c:pt>
                <c:pt idx="5">
                  <c:v>1067.7858743248635</c:v>
                </c:pt>
                <c:pt idx="6">
                  <c:v>824.80590984177297</c:v>
                </c:pt>
                <c:pt idx="7">
                  <c:v>703.31592760022761</c:v>
                </c:pt>
                <c:pt idx="8">
                  <c:v>630.42193825530046</c:v>
                </c:pt>
                <c:pt idx="9">
                  <c:v>533.22995246206426</c:v>
                </c:pt>
                <c:pt idx="10">
                  <c:v>484.63395956544616</c:v>
                </c:pt>
                <c:pt idx="11">
                  <c:v>436.03796666882801</c:v>
                </c:pt>
                <c:pt idx="12">
                  <c:v>411.73997022051896</c:v>
                </c:pt>
                <c:pt idx="13">
                  <c:v>397.16117235153354</c:v>
                </c:pt>
                <c:pt idx="14">
                  <c:v>387.44197377220991</c:v>
                </c:pt>
                <c:pt idx="15">
                  <c:v>380.499689072693</c:v>
                </c:pt>
                <c:pt idx="16">
                  <c:v>375.29297554805544</c:v>
                </c:pt>
                <c:pt idx="17">
                  <c:v>371.24330947333721</c:v>
                </c:pt>
                <c:pt idx="18">
                  <c:v>368.0035766135627</c:v>
                </c:pt>
                <c:pt idx="19">
                  <c:v>365.35288609192895</c:v>
                </c:pt>
                <c:pt idx="20">
                  <c:v>363.14397732390086</c:v>
                </c:pt>
                <c:pt idx="21">
                  <c:v>361.27490067403096</c:v>
                </c:pt>
                <c:pt idx="22">
                  <c:v>359.6728349741424</c:v>
                </c:pt>
                <c:pt idx="23">
                  <c:v>358.28437803423907</c:v>
                </c:pt>
                <c:pt idx="24">
                  <c:v>357.06947821182359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5523-4E4E-995C-F58B92CBB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662208"/>
        <c:axId val="109664128"/>
      </c:scatterChart>
      <c:valAx>
        <c:axId val="109662208"/>
        <c:scaling>
          <c:orientation val="minMax"/>
          <c:max val="8000"/>
        </c:scaling>
        <c:delete val="0"/>
        <c:axPos val="b"/>
        <c:majorGridlines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Volllaststunden [h/a]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400">
                <a:solidFill>
                  <a:sysClr val="windowText" lastClr="000000"/>
                </a:solidFill>
              </a:defRPr>
            </a:pPr>
            <a:endParaRPr lang="en-US"/>
          </a:p>
        </c:txPr>
        <c:crossAx val="109664128"/>
        <c:crosses val="autoZero"/>
        <c:crossBetween val="midCat"/>
        <c:minorUnit val="250"/>
      </c:valAx>
      <c:valAx>
        <c:axId val="109664128"/>
        <c:scaling>
          <c:orientation val="minMax"/>
          <c:max val="500"/>
        </c:scaling>
        <c:delete val="0"/>
        <c:axPos val="l"/>
        <c:majorGridlines/>
        <c:minorGridlines>
          <c:spPr>
            <a:ln>
              <a:solidFill>
                <a:schemeClr val="bg1">
                  <a:lumMod val="85000"/>
                </a:schemeClr>
              </a:solidFill>
            </a:ln>
          </c:spPr>
        </c:minorGridlines>
        <c:title>
          <c:tx>
            <c:rich>
              <a:bodyPr/>
              <a:lstStyle/>
              <a:p>
                <a:pPr>
                  <a:defRPr sz="1500"/>
                </a:pPr>
                <a:r>
                  <a:rPr lang="en-US" sz="1500"/>
                  <a:t>Jährliche</a:t>
                </a:r>
                <a:r>
                  <a:rPr lang="en-US" sz="1500" baseline="0"/>
                  <a:t> Gas</a:t>
                </a:r>
                <a:r>
                  <a:rPr lang="en-US" sz="1500"/>
                  <a:t>kosten [Tsd. €]</a:t>
                </a:r>
              </a:p>
            </c:rich>
          </c:tx>
          <c:overlay val="0"/>
        </c:title>
        <c:numFmt formatCode="0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400"/>
            </a:pPr>
            <a:endParaRPr lang="en-US"/>
          </a:p>
        </c:txPr>
        <c:crossAx val="109662208"/>
        <c:crosses val="autoZero"/>
        <c:crossBetween val="midCat"/>
        <c:minorUnit val="25"/>
      </c:valAx>
      <c:spPr>
        <a:ln w="15875">
          <a:solidFill>
            <a:schemeClr val="tx1"/>
          </a:solidFill>
        </a:ln>
      </c:spPr>
    </c:plotArea>
    <c:plotVisOnly val="1"/>
    <c:dispBlanksAs val="gap"/>
    <c:showDLblsOverMax val="0"/>
  </c:chart>
  <c:spPr>
    <a:ln>
      <a:noFill/>
    </a:ln>
  </c:spPr>
  <c:userShapes r:id="rId1"/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200-000000000000}">
  <sheetPr codeName="Diagramm3"/>
  <sheetViews>
    <sheetView tabSelected="1" workbookViewId="0"/>
  </sheetViews>
  <pageMargins left="0.7" right="0.7" top="0.78740157499999996" bottom="0.78740157499999996" header="0.3" footer="0.3"/>
  <pageSetup paperSize="9" orientation="landscape" horizontalDpi="4294967293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10275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0.72725</cdr:x>
      <cdr:y>0.63124</cdr:y>
    </cdr:from>
    <cdr:to>
      <cdr:x>0.82551</cdr:x>
      <cdr:y>0.68703</cdr:y>
    </cdr:to>
    <cdr:sp macro="" textlink="">
      <cdr:nvSpPr>
        <cdr:cNvPr id="9" name="Textfeld 1">
          <a:extLst xmlns:a="http://schemas.openxmlformats.org/drawingml/2006/main">
            <a:ext uri="{FF2B5EF4-FFF2-40B4-BE49-F238E27FC236}">
              <a16:creationId xmlns:a16="http://schemas.microsoft.com/office/drawing/2014/main" id="{661060D0-3614-4D63-B86A-C25935727622}"/>
            </a:ext>
          </a:extLst>
        </cdr:cNvPr>
        <cdr:cNvSpPr txBox="1"/>
      </cdr:nvSpPr>
      <cdr:spPr>
        <a:xfrm xmlns:a="http://schemas.openxmlformats.org/drawingml/2006/main" rot="20820000">
          <a:off x="6767726" y="3793949"/>
          <a:ext cx="914400" cy="335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/>
            <a:t>Anschlussleistung:</a:t>
          </a:r>
          <a:r>
            <a:rPr lang="en-GB" sz="1500" b="1" baseline="0"/>
            <a:t> 75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0.82145</cdr:x>
      <cdr:y>0.33332</cdr:y>
    </cdr:from>
    <cdr:to>
      <cdr:x>0.9197</cdr:x>
      <cdr:y>0.38911</cdr:y>
    </cdr:to>
    <cdr:sp macro="" textlink="">
      <cdr:nvSpPr>
        <cdr:cNvPr id="10" name="Textfeld 1">
          <a:extLst xmlns:a="http://schemas.openxmlformats.org/drawingml/2006/main">
            <a:ext uri="{FF2B5EF4-FFF2-40B4-BE49-F238E27FC236}">
              <a16:creationId xmlns:a16="http://schemas.microsoft.com/office/drawing/2014/main" id="{D16928E6-1064-447A-8386-B9125A9BAF74}"/>
            </a:ext>
          </a:extLst>
        </cdr:cNvPr>
        <cdr:cNvSpPr txBox="1"/>
      </cdr:nvSpPr>
      <cdr:spPr>
        <a:xfrm xmlns:a="http://schemas.openxmlformats.org/drawingml/2006/main" rot="20760000">
          <a:off x="7644359" y="2003363"/>
          <a:ext cx="914307" cy="3353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150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0.56241</cdr:x>
      <cdr:y>0.07342</cdr:y>
    </cdr:from>
    <cdr:to>
      <cdr:x>0.66066</cdr:x>
      <cdr:y>0.12922</cdr:y>
    </cdr:to>
    <cdr:sp macro="" textlink="">
      <cdr:nvSpPr>
        <cdr:cNvPr id="11" name="Textfeld 1">
          <a:extLst xmlns:a="http://schemas.openxmlformats.org/drawingml/2006/main">
            <a:ext uri="{FF2B5EF4-FFF2-40B4-BE49-F238E27FC236}">
              <a16:creationId xmlns:a16="http://schemas.microsoft.com/office/drawing/2014/main" id="{32D3020E-C711-4EC0-962A-C8D9BDAE1586}"/>
            </a:ext>
          </a:extLst>
        </cdr:cNvPr>
        <cdr:cNvSpPr txBox="1"/>
      </cdr:nvSpPr>
      <cdr:spPr>
        <a:xfrm xmlns:a="http://schemas.openxmlformats.org/drawingml/2006/main" rot="19800000">
          <a:off x="5233725" y="441266"/>
          <a:ext cx="914307" cy="33537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300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0.25465</cdr:x>
      <cdr:y>0.15523</cdr:y>
    </cdr:from>
    <cdr:to>
      <cdr:x>0.2907</cdr:x>
      <cdr:y>0.30732</cdr:y>
    </cdr:to>
    <cdr:sp macro="" textlink="">
      <cdr:nvSpPr>
        <cdr:cNvPr id="12" name="Textfeld 1">
          <a:extLst xmlns:a="http://schemas.openxmlformats.org/drawingml/2006/main">
            <a:ext uri="{FF2B5EF4-FFF2-40B4-BE49-F238E27FC236}">
              <a16:creationId xmlns:a16="http://schemas.microsoft.com/office/drawing/2014/main" id="{34A33ABB-3FF5-4F39-81EC-91D86CC1BC86}"/>
            </a:ext>
          </a:extLst>
        </cdr:cNvPr>
        <cdr:cNvSpPr txBox="1"/>
      </cdr:nvSpPr>
      <cdr:spPr>
        <a:xfrm xmlns:a="http://schemas.openxmlformats.org/drawingml/2006/main" rot="18720000">
          <a:off x="2080454" y="1222294"/>
          <a:ext cx="914103" cy="3354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-60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 baseline="0"/>
            <a:t>600</a:t>
          </a:r>
          <a:r>
            <a:rPr lang="en-GB" sz="1500" b="1"/>
            <a:t>0 kW</a:t>
          </a:r>
        </a:p>
      </cdr:txBody>
    </cdr:sp>
  </cdr:relSizeAnchor>
  <cdr:relSizeAnchor xmlns:cdr="http://schemas.openxmlformats.org/drawingml/2006/chartDrawing">
    <cdr:from>
      <cdr:x>0.62875</cdr:x>
      <cdr:y>0.71523</cdr:y>
    </cdr:from>
    <cdr:to>
      <cdr:x>0.92934</cdr:x>
      <cdr:y>0.85136</cdr:y>
    </cdr:to>
    <cdr:sp macro="" textlink="">
      <cdr:nvSpPr>
        <cdr:cNvPr id="13" name="Textfeld 1">
          <a:extLst xmlns:a="http://schemas.openxmlformats.org/drawingml/2006/main">
            <a:ext uri="{FF2B5EF4-FFF2-40B4-BE49-F238E27FC236}">
              <a16:creationId xmlns:a16="http://schemas.microsoft.com/office/drawing/2014/main" id="{53B4351D-050A-4940-A453-9DA6B476056D}"/>
            </a:ext>
          </a:extLst>
        </cdr:cNvPr>
        <cdr:cNvSpPr txBox="1"/>
      </cdr:nvSpPr>
      <cdr:spPr>
        <a:xfrm xmlns:a="http://schemas.openxmlformats.org/drawingml/2006/main" rot="120000">
          <a:off x="5851091" y="4298719"/>
          <a:ext cx="2797251" cy="818178"/>
        </a:xfrm>
        <a:prstGeom xmlns:a="http://schemas.openxmlformats.org/drawingml/2006/main" prst="rect">
          <a:avLst/>
        </a:prstGeom>
        <a:scene3d xmlns:a="http://schemas.openxmlformats.org/drawingml/2006/main">
          <a:camera prst="orthographicFront">
            <a:rot lat="0" lon="0" rev="0"/>
          </a:camera>
          <a:lightRig rig="threePt" dir="t"/>
        </a:scene3d>
      </cdr:spPr>
      <cdr:txBody>
        <a:bodyPr xmlns:a="http://schemas.openxmlformats.org/drawingml/2006/main" rot="-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Jahresbezug: 3.000.000 kWh/a</a:t>
          </a:r>
        </a:p>
      </cdr:txBody>
    </cdr:sp>
  </cdr:relSizeAnchor>
  <cdr:relSizeAnchor xmlns:cdr="http://schemas.openxmlformats.org/drawingml/2006/chartDrawing">
    <cdr:from>
      <cdr:x>0.39246</cdr:x>
      <cdr:y>0.46168</cdr:y>
    </cdr:from>
    <cdr:to>
      <cdr:x>0.80052</cdr:x>
      <cdr:y>0.59781</cdr:y>
    </cdr:to>
    <cdr:sp macro="" textlink="">
      <cdr:nvSpPr>
        <cdr:cNvPr id="14" name="Textfeld 1">
          <a:extLst xmlns:a="http://schemas.openxmlformats.org/drawingml/2006/main">
            <a:ext uri="{FF2B5EF4-FFF2-40B4-BE49-F238E27FC236}">
              <a16:creationId xmlns:a16="http://schemas.microsoft.com/office/drawing/2014/main" id="{B2CB2B29-5463-4CF1-96DD-61813248BD97}"/>
            </a:ext>
          </a:extLst>
        </cdr:cNvPr>
        <cdr:cNvSpPr txBox="1"/>
      </cdr:nvSpPr>
      <cdr:spPr>
        <a:xfrm xmlns:a="http://schemas.openxmlformats.org/drawingml/2006/main" rot="208946">
          <a:off x="3652221" y="2774802"/>
          <a:ext cx="3797376" cy="8181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7.000.000 kWh/a</a:t>
          </a:r>
        </a:p>
      </cdr:txBody>
    </cdr:sp>
  </cdr:relSizeAnchor>
  <cdr:relSizeAnchor xmlns:cdr="http://schemas.openxmlformats.org/drawingml/2006/chartDrawing">
    <cdr:from>
      <cdr:x>0.58492</cdr:x>
      <cdr:y>0.21288</cdr:y>
    </cdr:from>
    <cdr:to>
      <cdr:x>0.99299</cdr:x>
      <cdr:y>0.34901</cdr:y>
    </cdr:to>
    <cdr:sp macro="" textlink="">
      <cdr:nvSpPr>
        <cdr:cNvPr id="15" name="Textfeld 1">
          <a:extLst xmlns:a="http://schemas.openxmlformats.org/drawingml/2006/main">
            <a:ext uri="{FF2B5EF4-FFF2-40B4-BE49-F238E27FC236}">
              <a16:creationId xmlns:a16="http://schemas.microsoft.com/office/drawing/2014/main" id="{9C3E98A8-743D-4301-8978-1517595874DC}"/>
            </a:ext>
          </a:extLst>
        </cdr:cNvPr>
        <cdr:cNvSpPr txBox="1"/>
      </cdr:nvSpPr>
      <cdr:spPr>
        <a:xfrm xmlns:a="http://schemas.openxmlformats.org/drawingml/2006/main" rot="163398">
          <a:off x="5443205" y="1279452"/>
          <a:ext cx="3797469" cy="81817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rot="60000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GB" sz="1500" b="1">
              <a:solidFill>
                <a:srgbClr val="C00000"/>
              </a:solidFill>
            </a:rPr>
            <a:t>12.000.000 kWh/a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2"/>
  <dimension ref="A1:M400"/>
  <sheetViews>
    <sheetView zoomScale="85" zoomScaleNormal="85" workbookViewId="0">
      <selection activeCell="I6" sqref="I6"/>
    </sheetView>
  </sheetViews>
  <sheetFormatPr baseColWidth="10" defaultRowHeight="15" x14ac:dyDescent="0.25"/>
  <cols>
    <col min="1" max="1" width="20.28515625" bestFit="1" customWidth="1"/>
    <col min="2" max="2" width="19.85546875" bestFit="1" customWidth="1"/>
    <col min="3" max="3" width="21" bestFit="1" customWidth="1"/>
    <col min="4" max="4" width="21.5703125" bestFit="1" customWidth="1"/>
    <col min="5" max="5" width="34.140625" style="3" bestFit="1" customWidth="1"/>
    <col min="6" max="6" width="32.85546875" style="3" bestFit="1" customWidth="1"/>
    <col min="7" max="7" width="24" style="3" bestFit="1" customWidth="1"/>
    <col min="8" max="8" width="11.5703125" style="3" bestFit="1" customWidth="1"/>
    <col min="9" max="9" width="32.85546875" style="3" bestFit="1" customWidth="1"/>
    <col min="11" max="11" width="27" style="3" bestFit="1" customWidth="1"/>
    <col min="12" max="12" width="14.28515625" style="3" bestFit="1" customWidth="1"/>
  </cols>
  <sheetData>
    <row r="1" spans="1:13" x14ac:dyDescent="0.25">
      <c r="E1"/>
      <c r="F1"/>
      <c r="G1"/>
      <c r="H1"/>
      <c r="I1"/>
      <c r="K1"/>
      <c r="L1"/>
    </row>
    <row r="2" spans="1:13" x14ac:dyDescent="0.25">
      <c r="E2"/>
      <c r="F2"/>
      <c r="G2"/>
      <c r="H2"/>
      <c r="I2"/>
      <c r="K2"/>
      <c r="L2" t="s">
        <v>30</v>
      </c>
      <c r="M2">
        <v>12.148998224154527</v>
      </c>
    </row>
    <row r="3" spans="1:13" x14ac:dyDescent="0.25">
      <c r="E3"/>
      <c r="F3"/>
      <c r="G3"/>
      <c r="H3"/>
      <c r="I3"/>
      <c r="K3"/>
      <c r="L3" t="s">
        <v>31</v>
      </c>
      <c r="M3">
        <v>2.8237165072965986</v>
      </c>
    </row>
    <row r="4" spans="1:13" x14ac:dyDescent="0.25">
      <c r="A4" t="s">
        <v>20</v>
      </c>
      <c r="B4">
        <v>750</v>
      </c>
      <c r="E4"/>
      <c r="F4"/>
      <c r="G4"/>
      <c r="H4"/>
      <c r="I4"/>
      <c r="K4"/>
      <c r="L4" t="s">
        <v>34</v>
      </c>
      <c r="M4" s="3">
        <f>SUM(L8:L1048576)</f>
        <v>3389.8862849239363</v>
      </c>
    </row>
    <row r="5" spans="1:13" x14ac:dyDescent="0.25">
      <c r="A5" t="s">
        <v>21</v>
      </c>
      <c r="B5">
        <v>2</v>
      </c>
      <c r="E5"/>
      <c r="F5"/>
      <c r="G5"/>
      <c r="H5"/>
      <c r="I5"/>
      <c r="K5"/>
      <c r="L5"/>
    </row>
    <row r="6" spans="1:13" x14ac:dyDescent="0.25">
      <c r="E6"/>
      <c r="F6"/>
      <c r="G6"/>
      <c r="H6"/>
      <c r="I6"/>
      <c r="K6"/>
      <c r="L6"/>
    </row>
    <row r="7" spans="1:13" x14ac:dyDescent="0.25">
      <c r="B7" s="3" t="s">
        <v>22</v>
      </c>
      <c r="C7" s="3" t="s">
        <v>23</v>
      </c>
      <c r="D7" t="s">
        <v>24</v>
      </c>
      <c r="E7" s="3" t="s">
        <v>25</v>
      </c>
      <c r="F7" s="3" t="s">
        <v>26</v>
      </c>
      <c r="G7" t="s">
        <v>27</v>
      </c>
      <c r="H7" t="s">
        <v>28</v>
      </c>
      <c r="I7" t="s">
        <v>29</v>
      </c>
      <c r="K7" t="s">
        <v>32</v>
      </c>
      <c r="L7" t="s">
        <v>33</v>
      </c>
    </row>
    <row r="8" spans="1:13" x14ac:dyDescent="0.25">
      <c r="B8">
        <v>0</v>
      </c>
      <c r="C8">
        <v>0</v>
      </c>
      <c r="D8">
        <v>1</v>
      </c>
      <c r="E8" s="3">
        <v>10.161925</v>
      </c>
      <c r="F8" s="3">
        <v>4.1160000000000003E-9</v>
      </c>
      <c r="G8" s="3">
        <v>1.3073800000000002</v>
      </c>
      <c r="H8" s="3">
        <v>11.469305004116</v>
      </c>
      <c r="K8" s="3">
        <f t="shared" ref="K8:K25" si="0">$M$2*$B$4/1000 + $M$3*C8/100000</f>
        <v>9.1117486681158955</v>
      </c>
      <c r="L8" s="3">
        <f>(H8-K8)^2</f>
        <v>5.558071877414239</v>
      </c>
    </row>
    <row r="9" spans="1:13" x14ac:dyDescent="0.25">
      <c r="B9">
        <v>500</v>
      </c>
      <c r="C9">
        <v>375000</v>
      </c>
      <c r="D9">
        <v>1</v>
      </c>
      <c r="E9" s="3">
        <v>10.161925</v>
      </c>
      <c r="F9" s="3">
        <v>1.5435000041159999</v>
      </c>
      <c r="G9" s="3">
        <v>10.982380000000001</v>
      </c>
      <c r="H9" s="3">
        <v>22.687805004116001</v>
      </c>
      <c r="I9" s="3">
        <v>6.0500813344309332</v>
      </c>
      <c r="K9" s="3">
        <f t="shared" si="0"/>
        <v>19.700685570478143</v>
      </c>
      <c r="L9" s="3">
        <f t="shared" ref="L9:L25" si="1">(H9-K9)^2</f>
        <v>8.9228825108169563</v>
      </c>
    </row>
    <row r="10" spans="1:13" x14ac:dyDescent="0.25">
      <c r="B10">
        <v>1000</v>
      </c>
      <c r="C10">
        <v>750000</v>
      </c>
      <c r="D10">
        <v>2</v>
      </c>
      <c r="E10" s="3">
        <v>10.161925</v>
      </c>
      <c r="F10" s="3">
        <v>3.0237500041159997</v>
      </c>
      <c r="G10" s="3">
        <v>20.65738</v>
      </c>
      <c r="H10" s="3">
        <v>33.843055004115996</v>
      </c>
      <c r="I10" s="3">
        <v>4.5124073338821331</v>
      </c>
      <c r="K10" s="3">
        <f t="shared" si="0"/>
        <v>30.289622472840385</v>
      </c>
      <c r="L10" s="3">
        <f t="shared" si="1"/>
        <v>12.626882754327797</v>
      </c>
    </row>
    <row r="11" spans="1:13" x14ac:dyDescent="0.25">
      <c r="B11">
        <v>1500</v>
      </c>
      <c r="C11">
        <v>1125000</v>
      </c>
      <c r="D11">
        <v>2</v>
      </c>
      <c r="E11" s="3">
        <v>10.161925</v>
      </c>
      <c r="F11" s="3">
        <v>4.4723750041159995</v>
      </c>
      <c r="G11" s="3">
        <v>30.332379999999997</v>
      </c>
      <c r="H11" s="3">
        <v>44.966680004116</v>
      </c>
      <c r="I11" s="3">
        <v>3.9970382225880887</v>
      </c>
      <c r="K11" s="3">
        <f>$M$2*$B$4/1000 + $M$3*C11/100000</f>
        <v>40.878559375202627</v>
      </c>
      <c r="L11" s="3">
        <f t="shared" si="1"/>
        <v>16.71273027654707</v>
      </c>
    </row>
    <row r="12" spans="1:13" x14ac:dyDescent="0.25">
      <c r="B12">
        <v>2000</v>
      </c>
      <c r="C12">
        <v>1500000</v>
      </c>
      <c r="D12">
        <v>3</v>
      </c>
      <c r="E12" s="3">
        <v>10.161925</v>
      </c>
      <c r="F12" s="3">
        <v>5.8477500041159995</v>
      </c>
      <c r="G12" s="3">
        <v>40.007379999999998</v>
      </c>
      <c r="H12" s="3">
        <v>56.017055004115996</v>
      </c>
      <c r="I12" s="3">
        <v>3.7344703336077334</v>
      </c>
      <c r="K12" s="3">
        <f t="shared" si="0"/>
        <v>51.467496277564877</v>
      </c>
      <c r="L12" s="3">
        <f t="shared" si="1"/>
        <v>20.698484606337441</v>
      </c>
    </row>
    <row r="13" spans="1:13" x14ac:dyDescent="0.25">
      <c r="B13">
        <v>2500</v>
      </c>
      <c r="C13">
        <v>1875000</v>
      </c>
      <c r="D13">
        <v>3</v>
      </c>
      <c r="E13" s="3">
        <v>10.161925</v>
      </c>
      <c r="F13" s="3">
        <v>7.1865000041159997</v>
      </c>
      <c r="G13" s="3">
        <v>49.682379999999995</v>
      </c>
      <c r="H13" s="3">
        <v>67.03080500411599</v>
      </c>
      <c r="I13" s="3">
        <v>3.574976266886186</v>
      </c>
      <c r="K13" s="3">
        <f t="shared" si="0"/>
        <v>62.056433179927112</v>
      </c>
      <c r="L13" s="3">
        <f t="shared" si="1"/>
        <v>24.74437504528419</v>
      </c>
    </row>
    <row r="14" spans="1:13" x14ac:dyDescent="0.25">
      <c r="B14">
        <v>3000</v>
      </c>
      <c r="C14">
        <v>2250000</v>
      </c>
      <c r="D14">
        <v>3</v>
      </c>
      <c r="E14" s="3">
        <v>10.161925</v>
      </c>
      <c r="F14" s="3">
        <v>8.5252500041159998</v>
      </c>
      <c r="G14" s="3">
        <v>59.357379999999992</v>
      </c>
      <c r="H14" s="3">
        <v>78.044555004115992</v>
      </c>
      <c r="I14" s="3">
        <v>3.4686468890718216</v>
      </c>
      <c r="K14" s="3">
        <f>$M$2*$B$4/1000 + $M$3*C14/100000</f>
        <v>72.645370082289361</v>
      </c>
      <c r="L14" s="3">
        <f t="shared" si="1"/>
        <v>29.151197820080043</v>
      </c>
    </row>
    <row r="15" spans="1:13" x14ac:dyDescent="0.25">
      <c r="B15">
        <v>3500</v>
      </c>
      <c r="C15">
        <v>2625000</v>
      </c>
      <c r="D15">
        <v>3</v>
      </c>
      <c r="E15" s="3">
        <v>10.161925</v>
      </c>
      <c r="F15" s="3">
        <v>9.8640000041160008</v>
      </c>
      <c r="G15" s="3">
        <v>69.032380000000003</v>
      </c>
      <c r="H15" s="3">
        <v>89.058305004116008</v>
      </c>
      <c r="I15" s="3">
        <v>3.3926973334901338</v>
      </c>
      <c r="K15" s="3">
        <f>$M$2*$B$4/1000 + $M$3*C15/100000</f>
        <v>83.23430698465161</v>
      </c>
      <c r="L15" s="3">
        <f>(H15-K15)^2</f>
        <v>33.918952930725226</v>
      </c>
    </row>
    <row r="16" spans="1:13" x14ac:dyDescent="0.25">
      <c r="B16">
        <v>4000</v>
      </c>
      <c r="C16">
        <v>3000000</v>
      </c>
      <c r="D16">
        <v>3</v>
      </c>
      <c r="E16" s="3">
        <v>10.161925</v>
      </c>
      <c r="F16" s="3">
        <v>11.202750004115998</v>
      </c>
      <c r="G16" s="3">
        <v>78.707380000000001</v>
      </c>
      <c r="H16" s="3">
        <v>100.072055004116</v>
      </c>
      <c r="I16" s="3">
        <v>3.3357351668038664</v>
      </c>
      <c r="K16" s="3">
        <f t="shared" si="0"/>
        <v>93.823243887013859</v>
      </c>
      <c r="L16" s="3">
        <f t="shared" si="1"/>
        <v>39.047640377219246</v>
      </c>
    </row>
    <row r="17" spans="1:12" x14ac:dyDescent="0.25">
      <c r="B17">
        <v>4500</v>
      </c>
      <c r="C17">
        <v>3375000</v>
      </c>
      <c r="D17">
        <v>4</v>
      </c>
      <c r="E17" s="3">
        <v>10.161925</v>
      </c>
      <c r="F17" s="3">
        <v>12.418500004115998</v>
      </c>
      <c r="G17" s="3">
        <v>88.382379999999998</v>
      </c>
      <c r="H17" s="3">
        <v>110.96280500411599</v>
      </c>
      <c r="I17" s="3">
        <v>3.2877868149367697</v>
      </c>
      <c r="K17" s="3">
        <f t="shared" si="0"/>
        <v>104.41218078937609</v>
      </c>
      <c r="L17" s="3">
        <f t="shared" si="1"/>
        <v>42.910677602736705</v>
      </c>
    </row>
    <row r="18" spans="1:12" x14ac:dyDescent="0.25">
      <c r="B18">
        <v>5000</v>
      </c>
      <c r="C18">
        <v>3750000</v>
      </c>
      <c r="D18">
        <v>4</v>
      </c>
      <c r="E18" s="3">
        <v>10.161925</v>
      </c>
      <c r="F18" s="3">
        <v>13.634250004115998</v>
      </c>
      <c r="G18" s="3">
        <v>98.057380000000009</v>
      </c>
      <c r="H18" s="3">
        <v>121.853555004116</v>
      </c>
      <c r="I18" s="3">
        <v>3.2494281334430934</v>
      </c>
      <c r="K18" s="3">
        <f t="shared" si="0"/>
        <v>115.00111769173833</v>
      </c>
      <c r="L18" s="3">
        <f t="shared" si="1"/>
        <v>46.955897120065764</v>
      </c>
    </row>
    <row r="19" spans="1:12" x14ac:dyDescent="0.25">
      <c r="B19">
        <v>5500</v>
      </c>
      <c r="C19">
        <v>4125000</v>
      </c>
      <c r="D19">
        <v>4</v>
      </c>
      <c r="E19" s="3">
        <v>10.161925</v>
      </c>
      <c r="F19" s="3">
        <v>14.850000004116</v>
      </c>
      <c r="G19" s="3">
        <v>107.73238000000001</v>
      </c>
      <c r="H19" s="3">
        <v>132.744305004116</v>
      </c>
      <c r="I19" s="3">
        <v>3.2180437576755394</v>
      </c>
      <c r="K19" s="3">
        <f t="shared" si="0"/>
        <v>125.59005459410059</v>
      </c>
      <c r="L19" s="3">
        <f t="shared" si="1"/>
        <v>51.183298929205627</v>
      </c>
    </row>
    <row r="20" spans="1:12" x14ac:dyDescent="0.25">
      <c r="B20">
        <v>6000</v>
      </c>
      <c r="C20">
        <v>4500000</v>
      </c>
      <c r="D20">
        <v>4</v>
      </c>
      <c r="E20" s="3">
        <v>10.161925</v>
      </c>
      <c r="F20" s="3">
        <v>16.065750004115998</v>
      </c>
      <c r="G20" s="3">
        <v>117.40737999999999</v>
      </c>
      <c r="H20" s="3">
        <v>143.635055004116</v>
      </c>
      <c r="I20" s="3">
        <v>3.1918901112025777</v>
      </c>
      <c r="K20" s="3">
        <f t="shared" si="0"/>
        <v>136.17899149646283</v>
      </c>
      <c r="L20" s="3">
        <f t="shared" si="1"/>
        <v>55.592883030157289</v>
      </c>
    </row>
    <row r="21" spans="1:12" x14ac:dyDescent="0.25">
      <c r="B21">
        <v>6500</v>
      </c>
      <c r="C21">
        <v>4875000</v>
      </c>
      <c r="D21">
        <v>4</v>
      </c>
      <c r="E21" s="3">
        <v>10.161925</v>
      </c>
      <c r="F21" s="3">
        <v>17.281500004115998</v>
      </c>
      <c r="G21" s="3">
        <v>127.08237999999999</v>
      </c>
      <c r="H21" s="3">
        <v>154.52580500411599</v>
      </c>
      <c r="I21" s="3">
        <v>3.1697601026485334</v>
      </c>
      <c r="K21" s="3">
        <f t="shared" si="0"/>
        <v>146.76792839882506</v>
      </c>
      <c r="L21" s="3">
        <f t="shared" si="1"/>
        <v>60.184649422920351</v>
      </c>
    </row>
    <row r="22" spans="1:12" x14ac:dyDescent="0.25">
      <c r="B22">
        <v>7000</v>
      </c>
      <c r="C22">
        <v>5250000</v>
      </c>
      <c r="D22">
        <v>4</v>
      </c>
      <c r="E22" s="3">
        <v>10.161925</v>
      </c>
      <c r="F22" s="3">
        <v>18.497250004115998</v>
      </c>
      <c r="G22" s="3">
        <v>135.18237999999999</v>
      </c>
      <c r="H22" s="3">
        <v>163.841555004116</v>
      </c>
      <c r="I22" s="3">
        <v>3.1207915238879238</v>
      </c>
      <c r="K22" s="3">
        <f t="shared" si="0"/>
        <v>157.35686530118733</v>
      </c>
      <c r="L22" s="3">
        <f t="shared" si="1"/>
        <v>42.051200543269204</v>
      </c>
    </row>
    <row r="23" spans="1:12" x14ac:dyDescent="0.25">
      <c r="B23">
        <v>7500</v>
      </c>
      <c r="C23">
        <v>5625000</v>
      </c>
      <c r="D23">
        <v>4</v>
      </c>
      <c r="E23" s="3">
        <v>10.161925</v>
      </c>
      <c r="F23" s="3">
        <v>19.713000004115997</v>
      </c>
      <c r="G23" s="3">
        <v>144.74487999999999</v>
      </c>
      <c r="H23" s="3">
        <v>174.61980500411599</v>
      </c>
      <c r="I23" s="3">
        <v>3.1043520889620622</v>
      </c>
      <c r="K23" s="3">
        <f t="shared" si="0"/>
        <v>167.94580220354956</v>
      </c>
      <c r="L23" s="3">
        <f t="shared" si="1"/>
        <v>44.542313381968512</v>
      </c>
    </row>
    <row r="24" spans="1:12" x14ac:dyDescent="0.25">
      <c r="B24">
        <v>8000</v>
      </c>
      <c r="C24">
        <v>6000000</v>
      </c>
      <c r="D24">
        <v>4</v>
      </c>
      <c r="E24" s="3">
        <v>10.161925</v>
      </c>
      <c r="F24" s="3">
        <v>20.928750004115997</v>
      </c>
      <c r="G24" s="3">
        <v>154.30737999999999</v>
      </c>
      <c r="H24" s="3">
        <v>185.398055004116</v>
      </c>
      <c r="I24" s="3">
        <v>3.0899675834019331</v>
      </c>
      <c r="K24" s="3">
        <f t="shared" si="0"/>
        <v>178.53473910591183</v>
      </c>
      <c r="L24" s="3">
        <f t="shared" si="1"/>
        <v>47.10510511854222</v>
      </c>
    </row>
    <row r="25" spans="1:12" x14ac:dyDescent="0.25">
      <c r="B25">
        <v>8500</v>
      </c>
      <c r="C25">
        <v>6375000</v>
      </c>
      <c r="D25">
        <v>5</v>
      </c>
      <c r="E25" s="3">
        <v>10.161925</v>
      </c>
      <c r="F25" s="3">
        <v>22.076250004115998</v>
      </c>
      <c r="G25" s="3">
        <v>163.86987999999999</v>
      </c>
      <c r="H25" s="3">
        <v>196.10805500411601</v>
      </c>
      <c r="I25" s="3">
        <v>3.0762047843782905</v>
      </c>
      <c r="K25" s="3">
        <f t="shared" si="0"/>
        <v>189.12367600827403</v>
      </c>
      <c r="L25" s="3">
        <f t="shared" si="1"/>
        <v>48.78154995755861</v>
      </c>
    </row>
    <row r="29" spans="1:12" x14ac:dyDescent="0.25">
      <c r="A29" t="s">
        <v>20</v>
      </c>
      <c r="B29">
        <v>1500</v>
      </c>
    </row>
    <row r="30" spans="1:12" x14ac:dyDescent="0.25">
      <c r="A30" t="s">
        <v>21</v>
      </c>
      <c r="B30">
        <v>3</v>
      </c>
    </row>
    <row r="32" spans="1:12" x14ac:dyDescent="0.25">
      <c r="B32" s="3" t="s">
        <v>22</v>
      </c>
      <c r="C32" s="3" t="s">
        <v>23</v>
      </c>
      <c r="D32" t="s">
        <v>24</v>
      </c>
      <c r="E32" s="3" t="s">
        <v>25</v>
      </c>
      <c r="F32" s="3" t="s">
        <v>26</v>
      </c>
      <c r="G32" s="3" t="s">
        <v>27</v>
      </c>
      <c r="H32" s="3" t="s">
        <v>28</v>
      </c>
      <c r="I32" s="3" t="s">
        <v>29</v>
      </c>
      <c r="K32" t="s">
        <v>32</v>
      </c>
      <c r="L32" t="s">
        <v>33</v>
      </c>
    </row>
    <row r="33" spans="2:12" x14ac:dyDescent="0.25">
      <c r="B33">
        <v>0</v>
      </c>
      <c r="C33">
        <v>0</v>
      </c>
      <c r="D33">
        <v>1</v>
      </c>
      <c r="E33" s="3">
        <v>19.108224999999997</v>
      </c>
      <c r="F33" s="3">
        <v>4.1160000000000003E-9</v>
      </c>
      <c r="G33" s="3">
        <v>1.4533800000000001</v>
      </c>
      <c r="H33" s="3">
        <v>20.561605004115997</v>
      </c>
      <c r="K33" s="3">
        <f>$M$2*$B$29/1000 + $M$3*C33/100000</f>
        <v>18.223497336231791</v>
      </c>
      <c r="L33" s="3">
        <f>(H33-K33)^2</f>
        <v>5.4667474666189193</v>
      </c>
    </row>
    <row r="34" spans="2:12" x14ac:dyDescent="0.25">
      <c r="B34">
        <v>500</v>
      </c>
      <c r="C34">
        <v>750000</v>
      </c>
      <c r="D34">
        <v>2</v>
      </c>
      <c r="E34" s="3">
        <v>19.108224999999997</v>
      </c>
      <c r="F34" s="3">
        <v>3.0237500041159997</v>
      </c>
      <c r="G34" s="3">
        <v>20.803380000000001</v>
      </c>
      <c r="H34" s="3">
        <v>42.935355004115998</v>
      </c>
      <c r="I34" s="3">
        <v>5.7247140005487998</v>
      </c>
      <c r="K34" s="3">
        <f t="shared" ref="K34:K50" si="2">$M$2*$B$29/1000 + $M$3*C34/100000</f>
        <v>39.401371140956286</v>
      </c>
      <c r="L34" s="3">
        <f t="shared" ref="L34:L50" si="3">(H34-K34)^2</f>
        <v>12.489041945073241</v>
      </c>
    </row>
    <row r="35" spans="2:12" x14ac:dyDescent="0.25">
      <c r="B35">
        <v>1000</v>
      </c>
      <c r="C35">
        <v>1500000</v>
      </c>
      <c r="D35">
        <v>3</v>
      </c>
      <c r="E35" s="3">
        <v>19.108224999999997</v>
      </c>
      <c r="F35" s="3">
        <v>5.8477500041159995</v>
      </c>
      <c r="G35" s="3">
        <v>40.153379999999999</v>
      </c>
      <c r="H35" s="3">
        <v>65.109355004115997</v>
      </c>
      <c r="I35" s="3">
        <v>4.3406236669410667</v>
      </c>
      <c r="K35" s="3">
        <f t="shared" si="2"/>
        <v>60.57924494568077</v>
      </c>
      <c r="L35" s="3">
        <f t="shared" si="3"/>
        <v>20.521897141536016</v>
      </c>
    </row>
    <row r="36" spans="2:12" x14ac:dyDescent="0.25">
      <c r="B36">
        <v>1500</v>
      </c>
      <c r="C36">
        <v>2250000</v>
      </c>
      <c r="D36">
        <v>3</v>
      </c>
      <c r="E36" s="3">
        <v>19.108224999999997</v>
      </c>
      <c r="F36" s="3">
        <v>8.5252500041159998</v>
      </c>
      <c r="G36" s="3">
        <v>59.503379999999993</v>
      </c>
      <c r="H36" s="3">
        <v>87.136855004115986</v>
      </c>
      <c r="I36" s="3">
        <v>3.872749111294044</v>
      </c>
      <c r="K36" s="3">
        <f t="shared" si="2"/>
        <v>81.757118750405255</v>
      </c>
      <c r="L36" s="3">
        <f t="shared" si="3"/>
        <v>28.941562159489578</v>
      </c>
    </row>
    <row r="37" spans="2:12" x14ac:dyDescent="0.25">
      <c r="B37">
        <v>2000</v>
      </c>
      <c r="C37">
        <v>3000000</v>
      </c>
      <c r="D37">
        <v>3</v>
      </c>
      <c r="E37" s="3">
        <v>19.108224999999997</v>
      </c>
      <c r="F37" s="3">
        <v>11.202750004115998</v>
      </c>
      <c r="G37" s="3">
        <v>78.853380000000001</v>
      </c>
      <c r="H37" s="3">
        <v>109.164355004116</v>
      </c>
      <c r="I37" s="3">
        <v>3.6388118334705335</v>
      </c>
      <c r="K37" s="3">
        <f t="shared" si="2"/>
        <v>102.93499255512975</v>
      </c>
      <c r="L37" s="3">
        <f t="shared" si="3"/>
        <v>38.80495652083998</v>
      </c>
    </row>
    <row r="38" spans="2:12" x14ac:dyDescent="0.25">
      <c r="B38">
        <v>2500</v>
      </c>
      <c r="C38">
        <v>3750000</v>
      </c>
      <c r="D38">
        <v>4</v>
      </c>
      <c r="E38" s="3">
        <v>19.108224999999997</v>
      </c>
      <c r="F38" s="3">
        <v>13.634250004115998</v>
      </c>
      <c r="G38" s="3">
        <v>98.20338000000001</v>
      </c>
      <c r="H38" s="3">
        <v>130.945855004116</v>
      </c>
      <c r="I38" s="3">
        <v>3.4918894667764264</v>
      </c>
      <c r="K38" s="3">
        <f t="shared" si="2"/>
        <v>124.11286635985422</v>
      </c>
      <c r="L38" s="3">
        <f t="shared" si="3"/>
        <v>46.68973381261037</v>
      </c>
    </row>
    <row r="39" spans="2:12" x14ac:dyDescent="0.25">
      <c r="B39">
        <v>3000</v>
      </c>
      <c r="C39">
        <v>4500000</v>
      </c>
      <c r="D39">
        <v>4</v>
      </c>
      <c r="E39" s="3">
        <v>19.108224999999997</v>
      </c>
      <c r="F39" s="3">
        <v>16.065750004115998</v>
      </c>
      <c r="G39" s="3">
        <v>117.55337999999999</v>
      </c>
      <c r="H39" s="3">
        <v>152.72735500411599</v>
      </c>
      <c r="I39" s="3">
        <v>3.3939412223136887</v>
      </c>
      <c r="K39" s="3">
        <f t="shared" si="2"/>
        <v>145.29074016457872</v>
      </c>
      <c r="L39" s="3">
        <f t="shared" si="3"/>
        <v>55.303240271625945</v>
      </c>
    </row>
    <row r="40" spans="2:12" x14ac:dyDescent="0.25">
      <c r="B40">
        <v>3500</v>
      </c>
      <c r="C40">
        <v>5250000</v>
      </c>
      <c r="D40">
        <v>4</v>
      </c>
      <c r="E40" s="3">
        <v>19.108224999999997</v>
      </c>
      <c r="F40" s="3">
        <v>18.497250004115998</v>
      </c>
      <c r="G40" s="3">
        <v>135.32838000000001</v>
      </c>
      <c r="H40" s="3">
        <v>172.933855004116</v>
      </c>
      <c r="I40" s="3">
        <v>3.2939781905545904</v>
      </c>
      <c r="K40" s="3">
        <f>$M$2*$B$29/1000 + $M$3*C40/100000</f>
        <v>166.46861396930322</v>
      </c>
      <c r="L40" s="3">
        <f t="shared" si="3"/>
        <v>41.799341638226991</v>
      </c>
    </row>
    <row r="41" spans="2:12" x14ac:dyDescent="0.25">
      <c r="B41">
        <v>4000</v>
      </c>
      <c r="C41">
        <v>6000000</v>
      </c>
      <c r="D41">
        <v>4</v>
      </c>
      <c r="E41" s="3">
        <v>19.108224999999997</v>
      </c>
      <c r="F41" s="3">
        <v>20.928750004115997</v>
      </c>
      <c r="G41" s="3">
        <v>154.45338000000001</v>
      </c>
      <c r="H41" s="3">
        <v>194.490355004116</v>
      </c>
      <c r="I41" s="3">
        <v>3.2415059167352664</v>
      </c>
      <c r="K41" s="3">
        <f t="shared" si="2"/>
        <v>187.64648777402772</v>
      </c>
      <c r="L41" s="3">
        <f t="shared" si="3"/>
        <v>46.838518663076208</v>
      </c>
    </row>
    <row r="42" spans="2:12" x14ac:dyDescent="0.25">
      <c r="B42">
        <v>4500</v>
      </c>
      <c r="C42">
        <v>6750000</v>
      </c>
      <c r="D42">
        <v>5</v>
      </c>
      <c r="E42" s="3">
        <v>19.108224999999997</v>
      </c>
      <c r="F42" s="3">
        <v>23.223750004115999</v>
      </c>
      <c r="G42" s="3">
        <v>173.57838000000001</v>
      </c>
      <c r="H42" s="3">
        <v>215.91035500411601</v>
      </c>
      <c r="I42" s="3">
        <v>3.1986719259869041</v>
      </c>
      <c r="K42" s="3">
        <f t="shared" si="2"/>
        <v>208.82436157875219</v>
      </c>
      <c r="L42" s="3">
        <f t="shared" si="3"/>
        <v>50.211302824299345</v>
      </c>
    </row>
    <row r="43" spans="2:12" x14ac:dyDescent="0.25">
      <c r="B43">
        <v>5000</v>
      </c>
      <c r="C43">
        <v>7500000</v>
      </c>
      <c r="D43">
        <v>6</v>
      </c>
      <c r="E43" s="3">
        <v>19.108224999999997</v>
      </c>
      <c r="F43" s="3">
        <v>25.455750004115998</v>
      </c>
      <c r="G43" s="3">
        <v>192.70338000000001</v>
      </c>
      <c r="H43" s="3">
        <v>237.26735500411601</v>
      </c>
      <c r="I43" s="3">
        <v>3.1635647333882133</v>
      </c>
      <c r="K43" s="3">
        <f t="shared" si="2"/>
        <v>230.00223538347666</v>
      </c>
      <c r="L43" s="3">
        <f t="shared" si="3"/>
        <v>52.781963102198908</v>
      </c>
    </row>
    <row r="44" spans="2:12" x14ac:dyDescent="0.25">
      <c r="B44">
        <v>5500</v>
      </c>
      <c r="C44">
        <v>8250000</v>
      </c>
      <c r="D44">
        <v>6</v>
      </c>
      <c r="E44" s="3">
        <v>19.108224999999997</v>
      </c>
      <c r="F44" s="3">
        <v>27.656250004116</v>
      </c>
      <c r="G44" s="3">
        <v>211.82838000000001</v>
      </c>
      <c r="H44" s="3">
        <v>258.59285500411602</v>
      </c>
      <c r="I44" s="3">
        <v>3.1344588485347398</v>
      </c>
      <c r="K44" s="3">
        <f t="shared" si="2"/>
        <v>251.18010918820119</v>
      </c>
      <c r="L44" s="3">
        <f t="shared" si="3"/>
        <v>54.948800531362849</v>
      </c>
    </row>
    <row r="45" spans="2:12" x14ac:dyDescent="0.25">
      <c r="B45">
        <v>6000</v>
      </c>
      <c r="C45">
        <v>9000000</v>
      </c>
      <c r="D45">
        <v>6</v>
      </c>
      <c r="E45" s="3">
        <v>19.108224999999997</v>
      </c>
      <c r="F45" s="3">
        <v>29.856750004115998</v>
      </c>
      <c r="G45" s="3">
        <v>230.95337999999998</v>
      </c>
      <c r="H45" s="3">
        <v>279.91835500411599</v>
      </c>
      <c r="I45" s="3">
        <v>3.1102039444901779</v>
      </c>
      <c r="K45" s="3">
        <f t="shared" si="2"/>
        <v>272.35798299292566</v>
      </c>
      <c r="L45" s="3">
        <f t="shared" si="3"/>
        <v>57.159224947590246</v>
      </c>
    </row>
    <row r="46" spans="2:12" x14ac:dyDescent="0.25">
      <c r="B46">
        <v>6500</v>
      </c>
      <c r="C46">
        <v>9750000</v>
      </c>
      <c r="D46">
        <v>6</v>
      </c>
      <c r="E46" s="3">
        <v>19.108224999999997</v>
      </c>
      <c r="F46" s="3">
        <v>32.057250004116</v>
      </c>
      <c r="G46" s="3">
        <v>250.07837999999998</v>
      </c>
      <c r="H46" s="3">
        <v>301.24385500411597</v>
      </c>
      <c r="I46" s="3">
        <v>3.0896805641447789</v>
      </c>
      <c r="K46" s="3">
        <f t="shared" si="2"/>
        <v>293.53585679765013</v>
      </c>
      <c r="L46" s="3">
        <f t="shared" si="3"/>
        <v>59.413236350880688</v>
      </c>
    </row>
    <row r="47" spans="2:12" x14ac:dyDescent="0.25">
      <c r="B47">
        <v>7000</v>
      </c>
      <c r="C47">
        <v>10500000</v>
      </c>
      <c r="D47">
        <v>7</v>
      </c>
      <c r="E47" s="3">
        <v>19.108224999999997</v>
      </c>
      <c r="F47" s="3">
        <v>34.168750004115999</v>
      </c>
      <c r="G47" s="3">
        <v>269.20337999999998</v>
      </c>
      <c r="H47" s="3">
        <v>322.48035500411595</v>
      </c>
      <c r="I47" s="3">
        <v>3.0712414762296758</v>
      </c>
      <c r="K47" s="3">
        <f t="shared" si="2"/>
        <v>314.71373060237465</v>
      </c>
      <c r="L47" s="3">
        <f t="shared" si="3"/>
        <v>60.320454597723348</v>
      </c>
    </row>
    <row r="48" spans="2:12" x14ac:dyDescent="0.25">
      <c r="B48">
        <v>7500</v>
      </c>
      <c r="C48">
        <v>11250000</v>
      </c>
      <c r="D48">
        <v>7</v>
      </c>
      <c r="E48" s="3">
        <v>19.108224999999997</v>
      </c>
      <c r="F48" s="3">
        <v>36.235750004115999</v>
      </c>
      <c r="G48" s="3">
        <v>288.32837999999998</v>
      </c>
      <c r="H48" s="3">
        <v>343.67235500411596</v>
      </c>
      <c r="I48" s="3">
        <v>3.0548653778143642</v>
      </c>
      <c r="K48" s="3">
        <f t="shared" si="2"/>
        <v>335.89160440709912</v>
      </c>
      <c r="L48" s="3">
        <f t="shared" si="3"/>
        <v>60.540079852977811</v>
      </c>
    </row>
    <row r="49" spans="1:12" x14ac:dyDescent="0.25">
      <c r="B49">
        <v>8000</v>
      </c>
      <c r="C49">
        <v>12000000</v>
      </c>
      <c r="D49">
        <v>7</v>
      </c>
      <c r="E49" s="3">
        <v>19.108224999999997</v>
      </c>
      <c r="F49" s="3">
        <v>38.302750004116</v>
      </c>
      <c r="G49" s="3">
        <v>307.45337999999998</v>
      </c>
      <c r="H49" s="3">
        <v>364.86435500411596</v>
      </c>
      <c r="I49" s="3">
        <v>3.0405362917009664</v>
      </c>
      <c r="K49" s="3">
        <f t="shared" si="2"/>
        <v>357.06947821182365</v>
      </c>
      <c r="L49" s="3">
        <f t="shared" si="3"/>
        <v>60.760104207017314</v>
      </c>
    </row>
    <row r="50" spans="1:12" x14ac:dyDescent="0.25">
      <c r="B50">
        <v>8500</v>
      </c>
      <c r="C50">
        <v>12750000</v>
      </c>
      <c r="D50">
        <v>7</v>
      </c>
      <c r="E50" s="3">
        <v>19.108224999999997</v>
      </c>
      <c r="F50" s="3">
        <v>40.369750004116</v>
      </c>
      <c r="G50" s="3">
        <v>326.57837999999998</v>
      </c>
      <c r="H50" s="3">
        <v>386.05635500411597</v>
      </c>
      <c r="I50" s="3">
        <v>3.027892980424439</v>
      </c>
      <c r="K50" s="3">
        <f t="shared" si="2"/>
        <v>378.24735201654806</v>
      </c>
      <c r="L50" s="3">
        <f t="shared" si="3"/>
        <v>60.980527659844512</v>
      </c>
    </row>
    <row r="54" spans="1:12" x14ac:dyDescent="0.25">
      <c r="A54" t="s">
        <v>20</v>
      </c>
      <c r="B54">
        <v>2250</v>
      </c>
    </row>
    <row r="55" spans="1:12" x14ac:dyDescent="0.25">
      <c r="A55" t="s">
        <v>21</v>
      </c>
      <c r="B55">
        <v>4</v>
      </c>
    </row>
    <row r="57" spans="1:12" x14ac:dyDescent="0.25">
      <c r="B57" t="s">
        <v>22</v>
      </c>
      <c r="C57" t="s">
        <v>23</v>
      </c>
      <c r="D57" t="s">
        <v>24</v>
      </c>
      <c r="E57" s="3" t="s">
        <v>25</v>
      </c>
      <c r="F57" s="3" t="s">
        <v>26</v>
      </c>
      <c r="G57" s="3" t="s">
        <v>27</v>
      </c>
      <c r="H57" s="3" t="s">
        <v>28</v>
      </c>
      <c r="I57" s="3" t="s">
        <v>29</v>
      </c>
      <c r="K57" t="s">
        <v>32</v>
      </c>
      <c r="L57" t="s">
        <v>33</v>
      </c>
    </row>
    <row r="58" spans="1:12" x14ac:dyDescent="0.25">
      <c r="B58">
        <v>0</v>
      </c>
      <c r="C58">
        <v>0</v>
      </c>
      <c r="D58">
        <v>1</v>
      </c>
      <c r="E58" s="3">
        <v>27.017649999999996</v>
      </c>
      <c r="F58" s="3">
        <v>4.1160000000000003E-9</v>
      </c>
      <c r="G58" s="3">
        <v>1.4533800000000001</v>
      </c>
      <c r="H58" s="3">
        <v>28.471030004115995</v>
      </c>
      <c r="K58" s="3">
        <f>$M$2*$B$54/1000 + $M$3*C58/100000</f>
        <v>27.335246004347685</v>
      </c>
      <c r="L58" s="3">
        <f>(H58-K58)^2</f>
        <v>1.2900052941297022</v>
      </c>
    </row>
    <row r="59" spans="1:12" x14ac:dyDescent="0.25">
      <c r="B59">
        <v>500</v>
      </c>
      <c r="C59">
        <v>1125000</v>
      </c>
      <c r="D59">
        <v>2</v>
      </c>
      <c r="E59" s="3">
        <v>27.017649999999996</v>
      </c>
      <c r="F59" s="3">
        <v>4.4723750041159995</v>
      </c>
      <c r="G59" s="3">
        <v>30.478379999999998</v>
      </c>
      <c r="H59" s="3">
        <v>61.968405004115994</v>
      </c>
      <c r="I59" s="3">
        <v>5.5083026670325328</v>
      </c>
      <c r="K59" s="3">
        <f t="shared" ref="K59:K75" si="4">$M$2*$B$54/1000 + $M$3*C59/100000</f>
        <v>59.102056711434415</v>
      </c>
      <c r="L59" s="3">
        <f t="shared" ref="L59:L75" si="5">(H59-K59)^2</f>
        <v>8.2159525349586016</v>
      </c>
    </row>
    <row r="60" spans="1:12" x14ac:dyDescent="0.25">
      <c r="B60">
        <v>1000</v>
      </c>
      <c r="C60">
        <v>2250000</v>
      </c>
      <c r="D60">
        <v>3</v>
      </c>
      <c r="E60" s="3">
        <v>27.017649999999996</v>
      </c>
      <c r="F60" s="3">
        <v>8.5252500041159998</v>
      </c>
      <c r="G60" s="3">
        <v>59.503379999999993</v>
      </c>
      <c r="H60" s="3">
        <v>95.046280004115985</v>
      </c>
      <c r="I60" s="3">
        <v>4.2242791112940434</v>
      </c>
      <c r="K60" s="3">
        <f t="shared" si="4"/>
        <v>90.868867418521148</v>
      </c>
      <c r="L60" s="3">
        <f t="shared" si="5"/>
        <v>17.45077591028614</v>
      </c>
    </row>
    <row r="61" spans="1:12" x14ac:dyDescent="0.25">
      <c r="B61">
        <v>1500</v>
      </c>
      <c r="C61">
        <v>3375000</v>
      </c>
      <c r="D61">
        <v>4</v>
      </c>
      <c r="E61" s="3">
        <v>27.017649999999996</v>
      </c>
      <c r="F61" s="3">
        <v>12.418500004115998</v>
      </c>
      <c r="G61" s="3">
        <v>88.528379999999999</v>
      </c>
      <c r="H61" s="3">
        <v>127.964530004116</v>
      </c>
      <c r="I61" s="3">
        <v>3.7915416297515856</v>
      </c>
      <c r="K61" s="3">
        <f t="shared" si="4"/>
        <v>122.63567812560788</v>
      </c>
      <c r="L61" s="3">
        <f t="shared" si="5"/>
        <v>28.396662343079498</v>
      </c>
    </row>
    <row r="62" spans="1:12" x14ac:dyDescent="0.25">
      <c r="B62">
        <v>2000</v>
      </c>
      <c r="C62">
        <v>4500000</v>
      </c>
      <c r="D62">
        <v>4</v>
      </c>
      <c r="E62" s="3">
        <v>27.017649999999996</v>
      </c>
      <c r="F62" s="3">
        <v>16.065750004115998</v>
      </c>
      <c r="G62" s="3">
        <v>117.55337999999999</v>
      </c>
      <c r="H62" s="3">
        <v>160.63678000411599</v>
      </c>
      <c r="I62" s="3">
        <v>3.5697062223136888</v>
      </c>
      <c r="K62" s="3">
        <f t="shared" si="4"/>
        <v>154.40248883269462</v>
      </c>
      <c r="L62" s="3">
        <f t="shared" si="5"/>
        <v>38.86638641006251</v>
      </c>
    </row>
    <row r="63" spans="1:12" x14ac:dyDescent="0.25">
      <c r="B63">
        <v>2500</v>
      </c>
      <c r="C63">
        <v>5625000</v>
      </c>
      <c r="D63">
        <v>4</v>
      </c>
      <c r="E63" s="3">
        <v>27.017649999999996</v>
      </c>
      <c r="F63" s="3">
        <v>19.713000004115997</v>
      </c>
      <c r="G63" s="3">
        <v>144.89088000000001</v>
      </c>
      <c r="H63" s="3">
        <v>191.62153000411601</v>
      </c>
      <c r="I63" s="3">
        <v>3.4066049778509515</v>
      </c>
      <c r="K63" s="3">
        <f t="shared" si="4"/>
        <v>186.16929953978135</v>
      </c>
      <c r="L63" s="3">
        <f t="shared" si="5"/>
        <v>29.726817036218957</v>
      </c>
    </row>
    <row r="64" spans="1:12" x14ac:dyDescent="0.25">
      <c r="B64">
        <v>3000</v>
      </c>
      <c r="C64">
        <v>6750000</v>
      </c>
      <c r="D64">
        <v>5</v>
      </c>
      <c r="E64" s="3">
        <v>27.017649999999996</v>
      </c>
      <c r="F64" s="3">
        <v>23.223750004115999</v>
      </c>
      <c r="G64" s="3">
        <v>173.57838000000001</v>
      </c>
      <c r="H64" s="3">
        <v>223.81978000411601</v>
      </c>
      <c r="I64" s="3">
        <v>3.3158485926535706</v>
      </c>
      <c r="K64" s="3">
        <f t="shared" si="4"/>
        <v>217.93611024686808</v>
      </c>
      <c r="L64" s="3">
        <f t="shared" si="5"/>
        <v>34.617569812353906</v>
      </c>
    </row>
    <row r="65" spans="1:12" x14ac:dyDescent="0.25">
      <c r="B65">
        <v>3500</v>
      </c>
      <c r="C65">
        <v>7875000</v>
      </c>
      <c r="D65">
        <v>6</v>
      </c>
      <c r="E65" s="3">
        <v>27.017649999999996</v>
      </c>
      <c r="F65" s="3">
        <v>26.556000004115997</v>
      </c>
      <c r="G65" s="3">
        <v>202.26588000000001</v>
      </c>
      <c r="H65" s="3">
        <v>255.839530004116</v>
      </c>
      <c r="I65" s="3">
        <v>3.2487559365602032</v>
      </c>
      <c r="K65" s="3">
        <f t="shared" si="4"/>
        <v>249.70292095395482</v>
      </c>
      <c r="L65" s="3">
        <f t="shared" si="5"/>
        <v>37.657970634520147</v>
      </c>
    </row>
    <row r="66" spans="1:12" x14ac:dyDescent="0.25">
      <c r="B66">
        <v>4000</v>
      </c>
      <c r="C66">
        <v>9000000</v>
      </c>
      <c r="D66">
        <v>6</v>
      </c>
      <c r="E66" s="3">
        <v>27.017649999999996</v>
      </c>
      <c r="F66" s="3">
        <v>29.856750004115998</v>
      </c>
      <c r="G66" s="3">
        <v>230.95337999999998</v>
      </c>
      <c r="H66" s="3">
        <v>287.82778000411599</v>
      </c>
      <c r="I66" s="3">
        <v>3.1980864444901775</v>
      </c>
      <c r="K66" s="3">
        <f t="shared" si="4"/>
        <v>281.46973166104158</v>
      </c>
      <c r="L66" s="3">
        <f t="shared" si="5"/>
        <v>40.424778732871317</v>
      </c>
    </row>
    <row r="67" spans="1:12" x14ac:dyDescent="0.25">
      <c r="B67">
        <v>4500</v>
      </c>
      <c r="C67">
        <v>10125000</v>
      </c>
      <c r="D67">
        <v>7</v>
      </c>
      <c r="E67" s="3">
        <v>27.017649999999996</v>
      </c>
      <c r="F67" s="3">
        <v>33.135250004115996</v>
      </c>
      <c r="G67" s="3">
        <v>259.64087999999998</v>
      </c>
      <c r="H67" s="3">
        <v>319.793780004116</v>
      </c>
      <c r="I67" s="3">
        <v>3.1584570864604049</v>
      </c>
      <c r="K67" s="3">
        <f t="shared" si="4"/>
        <v>313.23654236812831</v>
      </c>
      <c r="L67" s="3">
        <f t="shared" si="5"/>
        <v>42.99736541481343</v>
      </c>
    </row>
    <row r="68" spans="1:12" x14ac:dyDescent="0.25">
      <c r="B68">
        <v>5000</v>
      </c>
      <c r="C68">
        <v>11250000</v>
      </c>
      <c r="D68">
        <v>7</v>
      </c>
      <c r="E68" s="3">
        <v>27.017649999999996</v>
      </c>
      <c r="F68" s="3">
        <v>36.235750004115999</v>
      </c>
      <c r="G68" s="3">
        <v>288.32837999999998</v>
      </c>
      <c r="H68" s="3">
        <v>351.58178000411596</v>
      </c>
      <c r="I68" s="3">
        <v>3.1251713778143642</v>
      </c>
      <c r="K68" s="3">
        <f t="shared" si="4"/>
        <v>345.00335307521505</v>
      </c>
      <c r="L68" s="3">
        <f t="shared" si="5"/>
        <v>43.275700858888662</v>
      </c>
    </row>
    <row r="69" spans="1:12" x14ac:dyDescent="0.25">
      <c r="B69">
        <v>5500</v>
      </c>
      <c r="C69">
        <v>12375000</v>
      </c>
      <c r="D69">
        <v>7</v>
      </c>
      <c r="E69" s="3">
        <v>27.017649999999996</v>
      </c>
      <c r="F69" s="3">
        <v>39.336250004115996</v>
      </c>
      <c r="G69" s="3">
        <v>317.01587999999998</v>
      </c>
      <c r="H69" s="3">
        <v>383.36978000411597</v>
      </c>
      <c r="I69" s="3">
        <v>3.0979376161948768</v>
      </c>
      <c r="K69" s="3">
        <f t="shared" si="4"/>
        <v>376.77016378230184</v>
      </c>
      <c r="L69" s="3">
        <f t="shared" si="5"/>
        <v>43.55493427523222</v>
      </c>
    </row>
    <row r="70" spans="1:12" x14ac:dyDescent="0.25">
      <c r="B70">
        <v>6000</v>
      </c>
      <c r="C70">
        <v>13500000</v>
      </c>
      <c r="D70">
        <v>7</v>
      </c>
      <c r="E70" s="3">
        <v>27.017649999999996</v>
      </c>
      <c r="F70" s="3">
        <v>42.436750004116</v>
      </c>
      <c r="G70" s="3">
        <v>345.70337999999998</v>
      </c>
      <c r="H70" s="3">
        <v>415.15778000411598</v>
      </c>
      <c r="I70" s="3">
        <v>3.0752428148453039</v>
      </c>
      <c r="K70" s="3">
        <f t="shared" si="4"/>
        <v>408.53697448938851</v>
      </c>
      <c r="L70" s="3">
        <f t="shared" si="5"/>
        <v>43.835065663845612</v>
      </c>
    </row>
    <row r="71" spans="1:12" x14ac:dyDescent="0.25">
      <c r="B71">
        <v>6500</v>
      </c>
      <c r="C71">
        <v>14625000</v>
      </c>
      <c r="D71">
        <v>7</v>
      </c>
      <c r="E71" s="3">
        <v>27.017649999999996</v>
      </c>
      <c r="F71" s="3">
        <v>45.537250004115997</v>
      </c>
      <c r="G71" s="3">
        <v>374.39087999999998</v>
      </c>
      <c r="H71" s="3">
        <v>446.94578000411599</v>
      </c>
      <c r="I71" s="3">
        <v>3.0560395213956646</v>
      </c>
      <c r="K71" s="3">
        <f t="shared" si="4"/>
        <v>440.3037851964753</v>
      </c>
      <c r="L71" s="3">
        <f t="shared" si="5"/>
        <v>44.116095024725823</v>
      </c>
    </row>
    <row r="72" spans="1:12" x14ac:dyDescent="0.25">
      <c r="B72">
        <v>7000</v>
      </c>
      <c r="C72">
        <v>15750000</v>
      </c>
      <c r="D72">
        <v>8</v>
      </c>
      <c r="E72" s="3">
        <v>27.017649999999996</v>
      </c>
      <c r="F72" s="3">
        <v>48.527500004116</v>
      </c>
      <c r="G72" s="3">
        <v>403.07837999999998</v>
      </c>
      <c r="H72" s="3">
        <v>478.62353000411599</v>
      </c>
      <c r="I72" s="3">
        <v>3.0388795555816892</v>
      </c>
      <c r="K72" s="3">
        <f t="shared" si="4"/>
        <v>472.07059590356198</v>
      </c>
      <c r="L72" s="3">
        <f t="shared" si="5"/>
        <v>42.940945326203618</v>
      </c>
    </row>
    <row r="73" spans="1:12" x14ac:dyDescent="0.25">
      <c r="B73">
        <v>7500</v>
      </c>
      <c r="C73">
        <v>16875000</v>
      </c>
      <c r="D73">
        <v>8</v>
      </c>
      <c r="E73" s="3">
        <v>27.017649999999996</v>
      </c>
      <c r="F73" s="3">
        <v>51.462625004115999</v>
      </c>
      <c r="G73" s="3">
        <v>431.76587999999998</v>
      </c>
      <c r="H73" s="3">
        <v>510.24615500411596</v>
      </c>
      <c r="I73" s="3">
        <v>3.0236809185429094</v>
      </c>
      <c r="K73" s="3">
        <f t="shared" si="4"/>
        <v>503.83740661064877</v>
      </c>
      <c r="L73" s="3">
        <f t="shared" si="5"/>
        <v>41.072055970768318</v>
      </c>
    </row>
    <row r="74" spans="1:12" x14ac:dyDescent="0.25">
      <c r="B74">
        <v>8000</v>
      </c>
      <c r="C74">
        <v>18000000</v>
      </c>
      <c r="D74">
        <v>8</v>
      </c>
      <c r="E74" s="3">
        <v>27.017649999999996</v>
      </c>
      <c r="F74" s="3">
        <v>54.397750004115998</v>
      </c>
      <c r="G74" s="3">
        <v>460.45337999999992</v>
      </c>
      <c r="H74" s="3">
        <v>541.86878000411593</v>
      </c>
      <c r="I74" s="3">
        <v>3.0103821111339775</v>
      </c>
      <c r="K74" s="3">
        <f t="shared" si="4"/>
        <v>535.60421731773545</v>
      </c>
      <c r="L74" s="3">
        <f t="shared" si="5"/>
        <v>39.244745651590698</v>
      </c>
    </row>
    <row r="75" spans="1:12" x14ac:dyDescent="0.25">
      <c r="B75">
        <v>8500</v>
      </c>
      <c r="C75">
        <v>19125000</v>
      </c>
      <c r="D75">
        <v>8</v>
      </c>
      <c r="E75" s="3">
        <v>27.017649999999996</v>
      </c>
      <c r="F75" s="3">
        <v>57.332875004115998</v>
      </c>
      <c r="G75" s="3">
        <v>489.14087999999992</v>
      </c>
      <c r="H75" s="3">
        <v>573.4914050041159</v>
      </c>
      <c r="I75" s="3">
        <v>2.9986478693025669</v>
      </c>
      <c r="K75" s="3">
        <f t="shared" si="4"/>
        <v>567.37102802482218</v>
      </c>
      <c r="L75" s="3">
        <f t="shared" si="5"/>
        <v>37.459014368668569</v>
      </c>
    </row>
    <row r="79" spans="1:12" x14ac:dyDescent="0.25">
      <c r="A79" t="s">
        <v>20</v>
      </c>
      <c r="B79">
        <v>3000</v>
      </c>
    </row>
    <row r="80" spans="1:12" x14ac:dyDescent="0.25">
      <c r="A80" t="s">
        <v>21</v>
      </c>
      <c r="B80">
        <v>4</v>
      </c>
    </row>
    <row r="82" spans="2:12" x14ac:dyDescent="0.25">
      <c r="B82" t="s">
        <v>22</v>
      </c>
      <c r="C82" t="s">
        <v>23</v>
      </c>
      <c r="D82" t="s">
        <v>24</v>
      </c>
      <c r="E82" s="3" t="s">
        <v>25</v>
      </c>
      <c r="F82" s="3" t="s">
        <v>26</v>
      </c>
      <c r="G82" s="3" t="s">
        <v>27</v>
      </c>
      <c r="H82" s="3" t="s">
        <v>28</v>
      </c>
      <c r="I82" s="3" t="s">
        <v>29</v>
      </c>
      <c r="K82" t="s">
        <v>32</v>
      </c>
      <c r="L82" t="s">
        <v>33</v>
      </c>
    </row>
    <row r="83" spans="2:12" x14ac:dyDescent="0.25">
      <c r="B83">
        <v>0</v>
      </c>
      <c r="C83">
        <v>0</v>
      </c>
      <c r="D83">
        <v>1</v>
      </c>
      <c r="E83" s="3">
        <v>34.927074999999995</v>
      </c>
      <c r="F83" s="3">
        <v>4.1160000000000003E-9</v>
      </c>
      <c r="G83" s="3">
        <v>1.6513800000000001</v>
      </c>
      <c r="H83" s="3">
        <v>36.578455004116002</v>
      </c>
      <c r="K83" s="3">
        <f>$M$2*$B$79/1000 + $M$3*C83/100000</f>
        <v>36.446994672463582</v>
      </c>
      <c r="L83" s="3">
        <f>(H83-K83)^2</f>
        <v>1.728181879816423E-2</v>
      </c>
    </row>
    <row r="84" spans="2:12" x14ac:dyDescent="0.25">
      <c r="B84">
        <v>500</v>
      </c>
      <c r="C84">
        <v>1500000</v>
      </c>
      <c r="D84">
        <v>3</v>
      </c>
      <c r="E84" s="3">
        <v>34.927074999999995</v>
      </c>
      <c r="F84" s="3">
        <v>5.8477500041159995</v>
      </c>
      <c r="G84" s="3">
        <v>40.351379999999999</v>
      </c>
      <c r="H84" s="3">
        <v>81.126205004116002</v>
      </c>
      <c r="I84" s="3">
        <v>5.4084136669410672</v>
      </c>
      <c r="K84" s="3">
        <f t="shared" ref="K84:K100" si="6">$M$2*$B$79/1000 + $M$3*C84/100000</f>
        <v>78.802742281912572</v>
      </c>
      <c r="L84" s="3">
        <f t="shared" ref="L84:L100" si="7">(H84-K84)^2</f>
        <v>5.398479021468976</v>
      </c>
    </row>
    <row r="85" spans="2:12" x14ac:dyDescent="0.25">
      <c r="B85">
        <v>1000</v>
      </c>
      <c r="C85">
        <v>3000000</v>
      </c>
      <c r="D85">
        <v>3</v>
      </c>
      <c r="E85" s="3">
        <v>34.927074999999995</v>
      </c>
      <c r="F85" s="3">
        <v>11.202750004115998</v>
      </c>
      <c r="G85" s="3">
        <v>79.051380000000009</v>
      </c>
      <c r="H85" s="3">
        <v>125.18120500411601</v>
      </c>
      <c r="I85" s="3">
        <v>4.1727068334705333</v>
      </c>
      <c r="K85" s="3">
        <f t="shared" si="6"/>
        <v>121.15848989136154</v>
      </c>
      <c r="L85" s="3">
        <f t="shared" si="7"/>
        <v>16.182236878383197</v>
      </c>
    </row>
    <row r="86" spans="2:12" x14ac:dyDescent="0.25">
      <c r="B86">
        <v>1500</v>
      </c>
      <c r="C86">
        <v>4500000</v>
      </c>
      <c r="D86">
        <v>4</v>
      </c>
      <c r="E86" s="3">
        <v>34.927074999999995</v>
      </c>
      <c r="F86" s="3">
        <v>16.065750004115998</v>
      </c>
      <c r="G86" s="3">
        <v>117.75137999999998</v>
      </c>
      <c r="H86" s="3">
        <v>168.74420500411597</v>
      </c>
      <c r="I86" s="3">
        <v>3.7498712223136885</v>
      </c>
      <c r="K86" s="3">
        <f t="shared" si="6"/>
        <v>163.51423750081051</v>
      </c>
      <c r="L86" s="3">
        <f t="shared" si="7"/>
        <v>27.352560085631143</v>
      </c>
    </row>
    <row r="87" spans="2:12" x14ac:dyDescent="0.25">
      <c r="B87">
        <v>2000</v>
      </c>
      <c r="C87">
        <v>6000000</v>
      </c>
      <c r="D87">
        <v>4</v>
      </c>
      <c r="E87" s="3">
        <v>34.927074999999995</v>
      </c>
      <c r="F87" s="3">
        <v>20.928750004115997</v>
      </c>
      <c r="G87" s="3">
        <v>154.65138000000002</v>
      </c>
      <c r="H87" s="3">
        <v>210.507205004116</v>
      </c>
      <c r="I87" s="3">
        <v>3.508453416735267</v>
      </c>
      <c r="K87" s="3">
        <f>$M$2*$B$79/1000 + $M$3*C87/100000</f>
        <v>205.86998511025951</v>
      </c>
      <c r="L87" s="3">
        <f t="shared" si="7"/>
        <v>21.503808343978456</v>
      </c>
    </row>
    <row r="88" spans="2:12" x14ac:dyDescent="0.25">
      <c r="B88">
        <v>2500</v>
      </c>
      <c r="C88">
        <v>7500000</v>
      </c>
      <c r="D88">
        <v>6</v>
      </c>
      <c r="E88" s="3">
        <v>34.927074999999995</v>
      </c>
      <c r="F88" s="3">
        <v>25.455750004115998</v>
      </c>
      <c r="G88" s="3">
        <v>192.90138000000002</v>
      </c>
      <c r="H88" s="3">
        <v>253.28420500411602</v>
      </c>
      <c r="I88" s="3">
        <v>3.3771227333882132</v>
      </c>
      <c r="K88" s="3">
        <f t="shared" si="6"/>
        <v>248.22573271970845</v>
      </c>
      <c r="L88" s="3">
        <f t="shared" si="7"/>
        <v>25.588141852119552</v>
      </c>
    </row>
    <row r="89" spans="2:12" x14ac:dyDescent="0.25">
      <c r="B89">
        <v>3000</v>
      </c>
      <c r="C89">
        <v>9000000</v>
      </c>
      <c r="D89">
        <v>6</v>
      </c>
      <c r="E89" s="3">
        <v>34.927074999999995</v>
      </c>
      <c r="F89" s="3">
        <v>29.856750004115998</v>
      </c>
      <c r="G89" s="3">
        <v>231.15137999999999</v>
      </c>
      <c r="H89" s="3">
        <v>295.93520500411597</v>
      </c>
      <c r="I89" s="3">
        <v>3.2881689444901774</v>
      </c>
      <c r="K89" s="3">
        <f t="shared" si="6"/>
        <v>290.58148032915744</v>
      </c>
      <c r="L89" s="3">
        <f t="shared" si="7"/>
        <v>28.662367895259795</v>
      </c>
    </row>
    <row r="90" spans="2:12" x14ac:dyDescent="0.25">
      <c r="B90">
        <v>3500</v>
      </c>
      <c r="C90">
        <v>10500000</v>
      </c>
      <c r="D90">
        <v>7</v>
      </c>
      <c r="E90" s="3">
        <v>34.927074999999995</v>
      </c>
      <c r="F90" s="3">
        <v>34.168750004115999</v>
      </c>
      <c r="G90" s="3">
        <v>269.40138000000002</v>
      </c>
      <c r="H90" s="3">
        <v>338.49720500411604</v>
      </c>
      <c r="I90" s="3">
        <v>3.2237829048011051</v>
      </c>
      <c r="K90" s="3">
        <f t="shared" si="6"/>
        <v>332.93722793860644</v>
      </c>
      <c r="L90" s="3">
        <f t="shared" si="7"/>
        <v>30.913344968992735</v>
      </c>
    </row>
    <row r="91" spans="2:12" x14ac:dyDescent="0.25">
      <c r="B91">
        <v>4000</v>
      </c>
      <c r="C91">
        <v>12000000</v>
      </c>
      <c r="D91">
        <v>7</v>
      </c>
      <c r="E91" s="3">
        <v>34.927074999999995</v>
      </c>
      <c r="F91" s="3">
        <v>38.302750004116</v>
      </c>
      <c r="G91" s="3">
        <v>307.65138000000002</v>
      </c>
      <c r="H91" s="3">
        <v>380.881205004116</v>
      </c>
      <c r="I91" s="3">
        <v>3.1740100417009667</v>
      </c>
      <c r="K91" s="3">
        <f t="shared" si="6"/>
        <v>375.29297554805544</v>
      </c>
      <c r="L91" s="3">
        <f t="shared" si="7"/>
        <v>31.228308453582905</v>
      </c>
    </row>
    <row r="92" spans="2:12" x14ac:dyDescent="0.25">
      <c r="B92">
        <v>4500</v>
      </c>
      <c r="C92">
        <v>13500000</v>
      </c>
      <c r="D92">
        <v>7</v>
      </c>
      <c r="E92" s="3">
        <v>34.927074999999995</v>
      </c>
      <c r="F92" s="3">
        <v>42.436750004116</v>
      </c>
      <c r="G92" s="3">
        <v>345.90138000000002</v>
      </c>
      <c r="H92" s="3">
        <v>423.26520500411601</v>
      </c>
      <c r="I92" s="3">
        <v>3.1352978148453037</v>
      </c>
      <c r="K92" s="3">
        <f t="shared" si="6"/>
        <v>417.64872315750438</v>
      </c>
      <c r="L92" s="3">
        <f t="shared" si="7"/>
        <v>31.544868333318036</v>
      </c>
    </row>
    <row r="93" spans="2:12" x14ac:dyDescent="0.25">
      <c r="B93">
        <v>5000</v>
      </c>
      <c r="C93">
        <v>15000000</v>
      </c>
      <c r="D93">
        <v>7</v>
      </c>
      <c r="E93" s="3">
        <v>34.927074999999995</v>
      </c>
      <c r="F93" s="3">
        <v>46.570750004116</v>
      </c>
      <c r="G93" s="3">
        <v>384.15138000000002</v>
      </c>
      <c r="H93" s="3">
        <v>465.64920500411603</v>
      </c>
      <c r="I93" s="3">
        <v>3.1043280333607735</v>
      </c>
      <c r="K93" s="3">
        <f t="shared" si="6"/>
        <v>460.00447076695332</v>
      </c>
      <c r="L93" s="3">
        <f t="shared" si="7"/>
        <v>31.863024608196866</v>
      </c>
    </row>
    <row r="94" spans="2:12" x14ac:dyDescent="0.25">
      <c r="B94">
        <v>5500</v>
      </c>
      <c r="C94">
        <v>16500000</v>
      </c>
      <c r="D94">
        <v>8</v>
      </c>
      <c r="E94" s="3">
        <v>34.927074999999995</v>
      </c>
      <c r="F94" s="3">
        <v>50.484250004115999</v>
      </c>
      <c r="G94" s="3">
        <v>422.40138000000002</v>
      </c>
      <c r="H94" s="3">
        <v>507.81270500411603</v>
      </c>
      <c r="I94" s="3">
        <v>3.0776527576007027</v>
      </c>
      <c r="K94" s="3">
        <f t="shared" si="6"/>
        <v>502.36021837640237</v>
      </c>
      <c r="L94" s="3">
        <f t="shared" si="7"/>
        <v>29.729610425396213</v>
      </c>
    </row>
    <row r="95" spans="2:12" x14ac:dyDescent="0.25">
      <c r="B95">
        <v>6000</v>
      </c>
      <c r="C95">
        <v>18000000</v>
      </c>
      <c r="D95">
        <v>8</v>
      </c>
      <c r="E95" s="3">
        <v>34.927074999999995</v>
      </c>
      <c r="F95" s="3">
        <v>54.397750004115998</v>
      </c>
      <c r="G95" s="3">
        <v>460.65137999999996</v>
      </c>
      <c r="H95" s="3">
        <v>549.97620500411597</v>
      </c>
      <c r="I95" s="3">
        <v>3.0554233611339781</v>
      </c>
      <c r="K95" s="3">
        <f t="shared" si="6"/>
        <v>544.71596598585131</v>
      </c>
      <c r="L95" s="3">
        <f t="shared" si="7"/>
        <v>27.67011452927391</v>
      </c>
    </row>
    <row r="96" spans="2:12" x14ac:dyDescent="0.25">
      <c r="B96">
        <v>6500</v>
      </c>
      <c r="C96">
        <v>19500000</v>
      </c>
      <c r="D96">
        <v>8</v>
      </c>
      <c r="E96" s="3">
        <v>34.927074999999995</v>
      </c>
      <c r="F96" s="3">
        <v>58.311250004115998</v>
      </c>
      <c r="G96" s="3">
        <v>498.90137999999996</v>
      </c>
      <c r="H96" s="3">
        <v>592.13970500411597</v>
      </c>
      <c r="I96" s="3">
        <v>3.0366138718159794</v>
      </c>
      <c r="K96" s="3">
        <f t="shared" si="6"/>
        <v>587.07171359530025</v>
      </c>
      <c r="L96" s="3">
        <f t="shared" si="7"/>
        <v>25.684536919829892</v>
      </c>
    </row>
    <row r="97" spans="1:12" x14ac:dyDescent="0.25">
      <c r="B97">
        <v>7000</v>
      </c>
      <c r="C97">
        <v>21000000</v>
      </c>
      <c r="D97">
        <v>9</v>
      </c>
      <c r="E97" s="3">
        <v>34.927074999999995</v>
      </c>
      <c r="F97" s="3">
        <v>62.225750004116001</v>
      </c>
      <c r="G97" s="3">
        <v>537.15138000000002</v>
      </c>
      <c r="H97" s="3">
        <v>634.30420500411606</v>
      </c>
      <c r="I97" s="3">
        <v>3.0204962143053149</v>
      </c>
      <c r="K97" s="3">
        <f t="shared" si="6"/>
        <v>629.42746120474931</v>
      </c>
      <c r="L97" s="3">
        <f t="shared" si="7"/>
        <v>23.782630084662042</v>
      </c>
    </row>
    <row r="98" spans="1:12" x14ac:dyDescent="0.25">
      <c r="B98">
        <v>7500</v>
      </c>
      <c r="C98">
        <v>22500000</v>
      </c>
      <c r="D98">
        <v>9</v>
      </c>
      <c r="E98" s="3">
        <v>34.927074999999995</v>
      </c>
      <c r="F98" s="3">
        <v>66.140750004116001</v>
      </c>
      <c r="G98" s="3">
        <v>575.40138000000002</v>
      </c>
      <c r="H98" s="3">
        <v>676.46920500411602</v>
      </c>
      <c r="I98" s="3">
        <v>3.0065298000182934</v>
      </c>
      <c r="K98" s="3">
        <f t="shared" si="6"/>
        <v>671.78320881419825</v>
      </c>
      <c r="L98" s="3">
        <f t="shared" si="7"/>
        <v>21.958560291923888</v>
      </c>
    </row>
    <row r="99" spans="1:12" x14ac:dyDescent="0.25">
      <c r="B99">
        <v>8000</v>
      </c>
      <c r="C99">
        <v>24000000</v>
      </c>
      <c r="D99">
        <v>9</v>
      </c>
      <c r="E99" s="3">
        <v>34.927074999999995</v>
      </c>
      <c r="F99" s="3">
        <v>70.055750004115993</v>
      </c>
      <c r="G99" s="3">
        <v>613.65138000000002</v>
      </c>
      <c r="H99" s="3">
        <v>718.63420500411598</v>
      </c>
      <c r="I99" s="3">
        <v>2.9943091875171501</v>
      </c>
      <c r="K99" s="3">
        <f t="shared" si="6"/>
        <v>714.1389564236473</v>
      </c>
      <c r="L99" s="3">
        <f t="shared" si="7"/>
        <v>20.207259800205708</v>
      </c>
    </row>
    <row r="100" spans="1:12" x14ac:dyDescent="0.25">
      <c r="B100">
        <v>8500</v>
      </c>
      <c r="C100">
        <v>25500000</v>
      </c>
      <c r="D100">
        <v>9</v>
      </c>
      <c r="E100" s="3">
        <v>34.927074999999995</v>
      </c>
      <c r="F100" s="3">
        <v>73.970750004115999</v>
      </c>
      <c r="G100" s="3">
        <v>651.90138000000002</v>
      </c>
      <c r="H100" s="3">
        <v>760.79920500411595</v>
      </c>
      <c r="I100" s="3">
        <v>2.9835262941337879</v>
      </c>
      <c r="K100" s="3">
        <f t="shared" si="6"/>
        <v>756.49470403309613</v>
      </c>
      <c r="L100" s="3">
        <f t="shared" si="7"/>
        <v>18.528728609510573</v>
      </c>
    </row>
    <row r="104" spans="1:12" x14ac:dyDescent="0.25">
      <c r="A104" t="s">
        <v>20</v>
      </c>
      <c r="B104">
        <v>3750</v>
      </c>
    </row>
    <row r="105" spans="1:12" x14ac:dyDescent="0.25">
      <c r="A105" t="s">
        <v>21</v>
      </c>
      <c r="B105">
        <v>5</v>
      </c>
    </row>
    <row r="107" spans="1:12" x14ac:dyDescent="0.25">
      <c r="B107" t="s">
        <v>22</v>
      </c>
      <c r="C107" t="s">
        <v>23</v>
      </c>
      <c r="D107" t="s">
        <v>24</v>
      </c>
      <c r="E107" s="3" t="s">
        <v>25</v>
      </c>
      <c r="F107" s="3" t="s">
        <v>26</v>
      </c>
      <c r="G107" s="3" t="s">
        <v>27</v>
      </c>
      <c r="H107" s="3" t="s">
        <v>28</v>
      </c>
      <c r="I107" s="3" t="s">
        <v>29</v>
      </c>
      <c r="K107" t="s">
        <v>32</v>
      </c>
      <c r="L107" t="s">
        <v>33</v>
      </c>
    </row>
    <row r="108" spans="1:12" x14ac:dyDescent="0.25">
      <c r="B108">
        <v>0</v>
      </c>
      <c r="C108">
        <v>0</v>
      </c>
      <c r="D108">
        <v>1</v>
      </c>
      <c r="E108" s="3">
        <v>41.770224999999996</v>
      </c>
      <c r="F108" s="3">
        <v>4.1160000000000003E-9</v>
      </c>
      <c r="G108" s="3">
        <v>1.6513800000000001</v>
      </c>
      <c r="H108" s="3">
        <v>43.421605004116003</v>
      </c>
      <c r="K108" s="3">
        <f>$M$2*$B$104/1000 + $M$3*C108/100000</f>
        <v>45.558743340579476</v>
      </c>
      <c r="L108" s="3">
        <f>(H108-K108)^2</f>
        <v>4.567360269181858</v>
      </c>
    </row>
    <row r="109" spans="1:12" x14ac:dyDescent="0.25">
      <c r="B109">
        <v>500</v>
      </c>
      <c r="C109">
        <v>1875000</v>
      </c>
      <c r="D109">
        <v>3</v>
      </c>
      <c r="E109" s="3">
        <v>41.770224999999996</v>
      </c>
      <c r="F109" s="3">
        <v>7.1865000041159997</v>
      </c>
      <c r="G109" s="3">
        <v>50.026379999999996</v>
      </c>
      <c r="H109" s="3">
        <v>98.983105004115998</v>
      </c>
      <c r="I109" s="3">
        <v>5.2790989335528531</v>
      </c>
      <c r="K109" s="3">
        <f t="shared" ref="K109:K125" si="8">$M$2*$B$104/1000 + $M$3*C109/100000</f>
        <v>98.503427852390701</v>
      </c>
      <c r="L109" s="3">
        <f t="shared" ref="L109:L125" si="9">(H109-K109)^2</f>
        <v>0.23009016988729436</v>
      </c>
    </row>
    <row r="110" spans="1:12" x14ac:dyDescent="0.25">
      <c r="B110">
        <v>1000</v>
      </c>
      <c r="C110">
        <v>3750000</v>
      </c>
      <c r="D110">
        <v>4</v>
      </c>
      <c r="E110" s="3">
        <v>41.770224999999996</v>
      </c>
      <c r="F110" s="3">
        <v>13.634250004115998</v>
      </c>
      <c r="G110" s="3">
        <v>98.401380000000003</v>
      </c>
      <c r="H110" s="3">
        <v>153.80585500411598</v>
      </c>
      <c r="I110" s="3">
        <v>4.1014894667764263</v>
      </c>
      <c r="K110" s="3">
        <f t="shared" si="8"/>
        <v>151.4481123642019</v>
      </c>
      <c r="L110" s="3">
        <f t="shared" si="9"/>
        <v>5.558950356069011</v>
      </c>
    </row>
    <row r="111" spans="1:12" x14ac:dyDescent="0.25">
      <c r="B111">
        <v>1500</v>
      </c>
      <c r="C111">
        <v>5625000</v>
      </c>
      <c r="D111">
        <v>4</v>
      </c>
      <c r="E111" s="3">
        <v>41.770224999999996</v>
      </c>
      <c r="F111" s="3">
        <v>19.713000004115997</v>
      </c>
      <c r="G111" s="3">
        <v>145.08888000000002</v>
      </c>
      <c r="H111" s="3">
        <v>206.572105004116</v>
      </c>
      <c r="I111" s="3">
        <v>3.6723929778509508</v>
      </c>
      <c r="K111" s="3">
        <f t="shared" si="8"/>
        <v>204.39279687601314</v>
      </c>
      <c r="L111" s="3">
        <f t="shared" si="9"/>
        <v>4.7493839172151944</v>
      </c>
    </row>
    <row r="112" spans="1:12" x14ac:dyDescent="0.25">
      <c r="B112">
        <v>2000</v>
      </c>
      <c r="C112">
        <v>7500000</v>
      </c>
      <c r="D112">
        <v>6</v>
      </c>
      <c r="E112" s="3">
        <v>41.770224999999996</v>
      </c>
      <c r="F112" s="3">
        <v>25.455750004115998</v>
      </c>
      <c r="G112" s="3">
        <v>192.90138000000002</v>
      </c>
      <c r="H112" s="3">
        <v>260.127355004116</v>
      </c>
      <c r="I112" s="3">
        <v>3.4683647333882135</v>
      </c>
      <c r="K112" s="3">
        <f t="shared" si="8"/>
        <v>257.33748138782437</v>
      </c>
      <c r="L112" s="3">
        <f t="shared" si="9"/>
        <v>7.7833947948801336</v>
      </c>
    </row>
    <row r="113" spans="2:12" x14ac:dyDescent="0.25">
      <c r="B113">
        <v>2500</v>
      </c>
      <c r="C113">
        <v>9375000</v>
      </c>
      <c r="D113">
        <v>6</v>
      </c>
      <c r="E113" s="3">
        <v>41.770224999999996</v>
      </c>
      <c r="F113" s="3">
        <v>30.957000004115997</v>
      </c>
      <c r="G113" s="3">
        <v>240.71387999999999</v>
      </c>
      <c r="H113" s="3">
        <v>313.44110500411597</v>
      </c>
      <c r="I113" s="3">
        <v>3.3433717867105703</v>
      </c>
      <c r="K113" s="3">
        <f t="shared" si="8"/>
        <v>310.28216589963563</v>
      </c>
      <c r="L113" s="3">
        <f t="shared" si="9"/>
        <v>9.9788962658150471</v>
      </c>
    </row>
    <row r="114" spans="2:12" x14ac:dyDescent="0.25">
      <c r="B114">
        <v>3000</v>
      </c>
      <c r="C114">
        <v>11250000</v>
      </c>
      <c r="D114">
        <v>7</v>
      </c>
      <c r="E114" s="3">
        <v>41.770224999999996</v>
      </c>
      <c r="F114" s="3">
        <v>36.235750004115999</v>
      </c>
      <c r="G114" s="3">
        <v>288.52638000000002</v>
      </c>
      <c r="H114" s="3">
        <v>366.53235500411603</v>
      </c>
      <c r="I114" s="3">
        <v>3.2580653778143644</v>
      </c>
      <c r="K114" s="3">
        <f t="shared" si="8"/>
        <v>363.22685041144683</v>
      </c>
      <c r="L114" s="3">
        <f t="shared" si="9"/>
        <v>10.926360612157138</v>
      </c>
    </row>
    <row r="115" spans="2:12" x14ac:dyDescent="0.25">
      <c r="B115">
        <v>3500</v>
      </c>
      <c r="C115">
        <v>13125000</v>
      </c>
      <c r="D115">
        <v>7</v>
      </c>
      <c r="E115" s="3">
        <v>41.770224999999996</v>
      </c>
      <c r="F115" s="3">
        <v>41.403250004115996</v>
      </c>
      <c r="G115" s="3">
        <v>336.33888000000002</v>
      </c>
      <c r="H115" s="3">
        <v>419.51235500411599</v>
      </c>
      <c r="I115" s="3">
        <v>3.1962846095551698</v>
      </c>
      <c r="K115" s="3">
        <f t="shared" si="8"/>
        <v>416.17153492325804</v>
      </c>
      <c r="L115" s="3">
        <f t="shared" si="9"/>
        <v>11.161078812663735</v>
      </c>
    </row>
    <row r="116" spans="2:12" x14ac:dyDescent="0.25">
      <c r="B116">
        <v>4000</v>
      </c>
      <c r="C116">
        <v>15000000</v>
      </c>
      <c r="D116">
        <v>7</v>
      </c>
      <c r="E116" s="3">
        <v>41.770224999999996</v>
      </c>
      <c r="F116" s="3">
        <v>46.570750004116</v>
      </c>
      <c r="G116" s="3">
        <v>384.15138000000002</v>
      </c>
      <c r="H116" s="3">
        <v>472.49235500411601</v>
      </c>
      <c r="I116" s="3">
        <v>3.1499490333607731</v>
      </c>
      <c r="K116" s="3">
        <f t="shared" si="8"/>
        <v>469.11621943506924</v>
      </c>
      <c r="L116" s="3">
        <f t="shared" si="9"/>
        <v>11.398291380582735</v>
      </c>
    </row>
    <row r="117" spans="2:12" x14ac:dyDescent="0.25">
      <c r="B117">
        <v>4500</v>
      </c>
      <c r="C117">
        <v>16875000</v>
      </c>
      <c r="D117">
        <v>8</v>
      </c>
      <c r="E117" s="3">
        <v>41.770224999999996</v>
      </c>
      <c r="F117" s="3">
        <v>51.462625004115999</v>
      </c>
      <c r="G117" s="3">
        <v>431.96388000000002</v>
      </c>
      <c r="H117" s="3">
        <v>525.19673000411603</v>
      </c>
      <c r="I117" s="3">
        <v>3.1122769185429102</v>
      </c>
      <c r="K117" s="3">
        <f t="shared" si="8"/>
        <v>522.06090394688056</v>
      </c>
      <c r="L117" s="3">
        <f t="shared" si="9"/>
        <v>9.833405061236995</v>
      </c>
    </row>
    <row r="118" spans="2:12" x14ac:dyDescent="0.25">
      <c r="B118">
        <v>5000</v>
      </c>
      <c r="C118">
        <v>18750000</v>
      </c>
      <c r="D118">
        <v>8</v>
      </c>
      <c r="E118" s="3">
        <v>41.770224999999996</v>
      </c>
      <c r="F118" s="3">
        <v>56.354500004115998</v>
      </c>
      <c r="G118" s="3">
        <v>479.77637999999996</v>
      </c>
      <c r="H118" s="3">
        <v>577.90110500411595</v>
      </c>
      <c r="I118" s="3">
        <v>3.0821392266886183</v>
      </c>
      <c r="K118" s="3">
        <f t="shared" si="8"/>
        <v>575.0055884586917</v>
      </c>
      <c r="L118" s="3">
        <f t="shared" si="9"/>
        <v>8.3840160648255448</v>
      </c>
    </row>
    <row r="119" spans="2:12" x14ac:dyDescent="0.25">
      <c r="B119">
        <v>5500</v>
      </c>
      <c r="C119">
        <v>20625000</v>
      </c>
      <c r="D119">
        <v>9</v>
      </c>
      <c r="E119" s="3">
        <v>41.770224999999996</v>
      </c>
      <c r="F119" s="3">
        <v>61.247000004115996</v>
      </c>
      <c r="G119" s="3">
        <v>527.58888000000002</v>
      </c>
      <c r="H119" s="3">
        <v>630.60610500411599</v>
      </c>
      <c r="I119" s="3">
        <v>3.0574841454745014</v>
      </c>
      <c r="K119" s="3">
        <f t="shared" si="8"/>
        <v>627.95027297050297</v>
      </c>
      <c r="L119" s="3">
        <f t="shared" si="9"/>
        <v>7.0534437907650887</v>
      </c>
    </row>
    <row r="120" spans="2:12" x14ac:dyDescent="0.25">
      <c r="B120">
        <v>6000</v>
      </c>
      <c r="C120">
        <v>22500000</v>
      </c>
      <c r="D120">
        <v>9</v>
      </c>
      <c r="E120" s="3">
        <v>41.770224999999996</v>
      </c>
      <c r="F120" s="3">
        <v>66.140750004116001</v>
      </c>
      <c r="G120" s="3">
        <v>575.40138000000002</v>
      </c>
      <c r="H120" s="3">
        <v>683.31235500411606</v>
      </c>
      <c r="I120" s="3">
        <v>3.0369438000182938</v>
      </c>
      <c r="K120" s="3">
        <f t="shared" si="8"/>
        <v>680.89495748231411</v>
      </c>
      <c r="L120" s="3">
        <f t="shared" si="9"/>
        <v>5.8438107784141851</v>
      </c>
    </row>
    <row r="121" spans="2:12" x14ac:dyDescent="0.25">
      <c r="B121">
        <v>6500</v>
      </c>
      <c r="C121">
        <v>24375000</v>
      </c>
      <c r="D121">
        <v>9</v>
      </c>
      <c r="E121" s="3">
        <v>41.770224999999996</v>
      </c>
      <c r="F121" s="3">
        <v>71.034500004115998</v>
      </c>
      <c r="G121" s="3">
        <v>623.21388000000002</v>
      </c>
      <c r="H121" s="3">
        <v>736.01860500411601</v>
      </c>
      <c r="I121" s="3">
        <v>3.019563507709194</v>
      </c>
      <c r="K121" s="3">
        <f t="shared" si="8"/>
        <v>733.83964199412537</v>
      </c>
      <c r="L121" s="3">
        <f t="shared" si="9"/>
        <v>4.7478797989074657</v>
      </c>
    </row>
    <row r="122" spans="2:12" x14ac:dyDescent="0.25">
      <c r="B122">
        <v>7000</v>
      </c>
      <c r="C122">
        <v>26250000</v>
      </c>
      <c r="D122">
        <v>9</v>
      </c>
      <c r="E122" s="3">
        <v>41.770224999999996</v>
      </c>
      <c r="F122" s="3">
        <v>75.928250004115995</v>
      </c>
      <c r="G122" s="3">
        <v>671.02638000000002</v>
      </c>
      <c r="H122" s="3">
        <v>788.72485500411597</v>
      </c>
      <c r="I122" s="3">
        <v>3.0046661143013944</v>
      </c>
      <c r="K122" s="3">
        <f t="shared" si="8"/>
        <v>786.78432650593652</v>
      </c>
      <c r="L122" s="3">
        <f t="shared" si="9"/>
        <v>3.7656508522465786</v>
      </c>
    </row>
    <row r="123" spans="2:12" x14ac:dyDescent="0.25">
      <c r="B123">
        <v>7500</v>
      </c>
      <c r="C123">
        <v>28125000</v>
      </c>
      <c r="D123">
        <v>9</v>
      </c>
      <c r="E123" s="3">
        <v>41.770224999999996</v>
      </c>
      <c r="F123" s="3">
        <v>80.822000004115992</v>
      </c>
      <c r="G123" s="3">
        <v>718.83888000000002</v>
      </c>
      <c r="H123" s="3">
        <v>841.43110500411603</v>
      </c>
      <c r="I123" s="3">
        <v>2.9917550400146347</v>
      </c>
      <c r="K123" s="3">
        <f t="shared" si="8"/>
        <v>839.72901101774789</v>
      </c>
      <c r="L123" s="3">
        <f t="shared" si="9"/>
        <v>2.897123938430588</v>
      </c>
    </row>
    <row r="124" spans="2:12" x14ac:dyDescent="0.25">
      <c r="B124">
        <v>8000</v>
      </c>
      <c r="C124">
        <v>30000000</v>
      </c>
      <c r="D124">
        <v>9</v>
      </c>
      <c r="E124" s="3">
        <v>41.770224999999996</v>
      </c>
      <c r="F124" s="3">
        <v>85.715750004116003</v>
      </c>
      <c r="G124" s="3">
        <v>766.65138000000002</v>
      </c>
      <c r="H124" s="3">
        <v>894.13735500411599</v>
      </c>
      <c r="I124" s="3">
        <v>2.9804578500137198</v>
      </c>
      <c r="K124" s="3">
        <f t="shared" si="8"/>
        <v>892.67369552955893</v>
      </c>
      <c r="L124" s="3">
        <f t="shared" si="9"/>
        <v>2.1422990574606544</v>
      </c>
    </row>
    <row r="125" spans="2:12" x14ac:dyDescent="0.25">
      <c r="B125">
        <v>8500</v>
      </c>
      <c r="C125">
        <v>31875000</v>
      </c>
      <c r="D125">
        <v>9</v>
      </c>
      <c r="E125" s="3">
        <v>41.770224999999996</v>
      </c>
      <c r="F125" s="3">
        <v>90.609500004116001</v>
      </c>
      <c r="G125" s="3">
        <v>814.46388000000002</v>
      </c>
      <c r="H125" s="3">
        <v>946.84360500411594</v>
      </c>
      <c r="I125" s="3">
        <v>2.9704897411893834</v>
      </c>
      <c r="K125" s="3">
        <f t="shared" si="8"/>
        <v>945.6183800413703</v>
      </c>
      <c r="L125" s="3">
        <f t="shared" si="9"/>
        <v>1.5011762093350602</v>
      </c>
    </row>
    <row r="129" spans="1:12" x14ac:dyDescent="0.25">
      <c r="A129" t="s">
        <v>20</v>
      </c>
      <c r="B129">
        <v>4500</v>
      </c>
    </row>
    <row r="130" spans="1:12" x14ac:dyDescent="0.25">
      <c r="A130" t="s">
        <v>21</v>
      </c>
      <c r="B130">
        <v>5</v>
      </c>
    </row>
    <row r="132" spans="1:12" x14ac:dyDescent="0.25">
      <c r="B132" t="s">
        <v>22</v>
      </c>
      <c r="C132" t="s">
        <v>23</v>
      </c>
      <c r="D132" t="s">
        <v>24</v>
      </c>
      <c r="E132" s="3" t="s">
        <v>25</v>
      </c>
      <c r="F132" s="3" t="s">
        <v>26</v>
      </c>
      <c r="G132" s="3" t="s">
        <v>27</v>
      </c>
      <c r="H132" s="3" t="s">
        <v>28</v>
      </c>
      <c r="I132" s="3" t="s">
        <v>29</v>
      </c>
      <c r="K132" t="s">
        <v>32</v>
      </c>
      <c r="L132" t="s">
        <v>33</v>
      </c>
    </row>
    <row r="133" spans="1:12" x14ac:dyDescent="0.25">
      <c r="B133">
        <v>0</v>
      </c>
      <c r="C133">
        <v>0</v>
      </c>
      <c r="D133">
        <v>1</v>
      </c>
      <c r="E133" s="3">
        <v>48.613374999999998</v>
      </c>
      <c r="F133" s="3">
        <v>4.1160000000000003E-9</v>
      </c>
      <c r="G133" s="3">
        <v>1.7713800000000002</v>
      </c>
      <c r="H133" s="3">
        <v>50.384755004116002</v>
      </c>
      <c r="K133" s="3">
        <f>$M$2*$B$129/1000 + $M$3*C133/100000</f>
        <v>54.670492008695369</v>
      </c>
      <c r="L133" s="3">
        <f>(H133-K133)^2</f>
        <v>18.367541672420927</v>
      </c>
    </row>
    <row r="134" spans="1:12" x14ac:dyDescent="0.25">
      <c r="B134">
        <v>500</v>
      </c>
      <c r="C134">
        <v>2250000</v>
      </c>
      <c r="D134">
        <v>3</v>
      </c>
      <c r="E134" s="3">
        <v>48.613374999999998</v>
      </c>
      <c r="F134" s="3">
        <v>8.5252500041159998</v>
      </c>
      <c r="G134" s="3">
        <v>59.821379999999991</v>
      </c>
      <c r="H134" s="3">
        <v>116.96000500411598</v>
      </c>
      <c r="I134" s="3">
        <v>5.198222444627377</v>
      </c>
      <c r="K134" s="3">
        <f t="shared" ref="K134:K150" si="10">$M$2*$B$129/1000 + $M$3*C134/100000</f>
        <v>118.20411342286883</v>
      </c>
      <c r="L134" s="3">
        <f t="shared" ref="L134:L150" si="11">(H134-K134)^2</f>
        <v>1.5478057576117035</v>
      </c>
    </row>
    <row r="135" spans="1:12" x14ac:dyDescent="0.25">
      <c r="B135">
        <v>1000</v>
      </c>
      <c r="C135">
        <v>4500000</v>
      </c>
      <c r="D135">
        <v>4</v>
      </c>
      <c r="E135" s="3">
        <v>48.613374999999998</v>
      </c>
      <c r="F135" s="3">
        <v>16.065750004115998</v>
      </c>
      <c r="G135" s="3">
        <v>117.87137999999999</v>
      </c>
      <c r="H135" s="3">
        <v>182.55050500411599</v>
      </c>
      <c r="I135" s="3">
        <v>4.0566778889803556</v>
      </c>
      <c r="K135" s="3">
        <f t="shared" si="10"/>
        <v>181.7377348370423</v>
      </c>
      <c r="L135" s="3">
        <f t="shared" si="11"/>
        <v>0.66059534448500046</v>
      </c>
    </row>
    <row r="136" spans="1:12" x14ac:dyDescent="0.25">
      <c r="B136">
        <v>1500</v>
      </c>
      <c r="C136">
        <v>6750000</v>
      </c>
      <c r="D136">
        <v>5</v>
      </c>
      <c r="E136" s="3">
        <v>48.613374999999998</v>
      </c>
      <c r="F136" s="3">
        <v>23.223750004115999</v>
      </c>
      <c r="G136" s="3">
        <v>173.89637999999999</v>
      </c>
      <c r="H136" s="3">
        <v>245.73350500411598</v>
      </c>
      <c r="I136" s="3">
        <v>3.640496370431348</v>
      </c>
      <c r="K136" s="3">
        <f t="shared" si="10"/>
        <v>245.27135625121576</v>
      </c>
      <c r="L136" s="3">
        <f t="shared" si="11"/>
        <v>0.21358146980722814</v>
      </c>
    </row>
    <row r="137" spans="1:12" x14ac:dyDescent="0.25">
      <c r="B137">
        <v>2000</v>
      </c>
      <c r="C137">
        <v>9000000</v>
      </c>
      <c r="D137">
        <v>6</v>
      </c>
      <c r="E137" s="3">
        <v>48.613374999999998</v>
      </c>
      <c r="F137" s="3">
        <v>29.856750004115998</v>
      </c>
      <c r="G137" s="3">
        <v>231.27137999999997</v>
      </c>
      <c r="H137" s="3">
        <v>309.74150500411599</v>
      </c>
      <c r="I137" s="3">
        <v>3.4415722778235112</v>
      </c>
      <c r="K137" s="3">
        <f t="shared" si="10"/>
        <v>308.80497766538923</v>
      </c>
      <c r="L137" s="3">
        <f t="shared" si="11"/>
        <v>0.87708345618263139</v>
      </c>
    </row>
    <row r="138" spans="1:12" x14ac:dyDescent="0.25">
      <c r="B138">
        <v>2500</v>
      </c>
      <c r="C138">
        <v>11250000</v>
      </c>
      <c r="D138">
        <v>7</v>
      </c>
      <c r="E138" s="3">
        <v>48.613374999999998</v>
      </c>
      <c r="F138" s="3">
        <v>36.235750004115999</v>
      </c>
      <c r="G138" s="3">
        <v>288.64638000000002</v>
      </c>
      <c r="H138" s="3">
        <v>373.49550500411601</v>
      </c>
      <c r="I138" s="3">
        <v>3.3199600444810313</v>
      </c>
      <c r="K138" s="3">
        <f t="shared" si="10"/>
        <v>372.3385990795627</v>
      </c>
      <c r="L138" s="3">
        <f t="shared" si="11"/>
        <v>1.3384313182665581</v>
      </c>
    </row>
    <row r="139" spans="1:12" x14ac:dyDescent="0.25">
      <c r="B139">
        <v>3000</v>
      </c>
      <c r="C139">
        <v>13500000</v>
      </c>
      <c r="D139">
        <v>7</v>
      </c>
      <c r="E139" s="3">
        <v>48.613374999999998</v>
      </c>
      <c r="F139" s="3">
        <v>42.436750004116</v>
      </c>
      <c r="G139" s="3">
        <v>346.02138000000002</v>
      </c>
      <c r="H139" s="3">
        <v>437.07150500411603</v>
      </c>
      <c r="I139" s="3">
        <v>3.2375667037341929</v>
      </c>
      <c r="K139" s="3">
        <f t="shared" si="10"/>
        <v>435.87222049373617</v>
      </c>
      <c r="L139" s="3">
        <f t="shared" si="11"/>
        <v>1.4382833368370811</v>
      </c>
    </row>
    <row r="140" spans="1:12" x14ac:dyDescent="0.25">
      <c r="B140">
        <v>3500</v>
      </c>
      <c r="C140">
        <v>15750000</v>
      </c>
      <c r="D140">
        <v>8</v>
      </c>
      <c r="E140" s="3">
        <v>48.613374999999998</v>
      </c>
      <c r="F140" s="3">
        <v>48.527500004116</v>
      </c>
      <c r="G140" s="3">
        <v>403.39638000000002</v>
      </c>
      <c r="H140" s="3">
        <v>500.53725500411599</v>
      </c>
      <c r="I140" s="3">
        <v>3.1780143174864506</v>
      </c>
      <c r="K140" s="3">
        <f t="shared" si="10"/>
        <v>499.40584190790963</v>
      </c>
      <c r="L140" s="3">
        <f t="shared" si="11"/>
        <v>1.2800955942672589</v>
      </c>
    </row>
    <row r="141" spans="1:12" x14ac:dyDescent="0.25">
      <c r="B141">
        <v>4000</v>
      </c>
      <c r="C141">
        <v>18000000</v>
      </c>
      <c r="D141">
        <v>8</v>
      </c>
      <c r="E141" s="3">
        <v>48.613374999999998</v>
      </c>
      <c r="F141" s="3">
        <v>54.397750004115998</v>
      </c>
      <c r="G141" s="3">
        <v>460.77137999999997</v>
      </c>
      <c r="H141" s="3">
        <v>563.78250500411593</v>
      </c>
      <c r="I141" s="3">
        <v>3.1321250278006443</v>
      </c>
      <c r="K141" s="3">
        <f t="shared" si="10"/>
        <v>562.93946332208316</v>
      </c>
      <c r="L141" s="3">
        <f t="shared" si="11"/>
        <v>0.71071927764465292</v>
      </c>
    </row>
    <row r="142" spans="1:12" x14ac:dyDescent="0.25">
      <c r="B142">
        <v>4500</v>
      </c>
      <c r="C142">
        <v>20250000</v>
      </c>
      <c r="D142">
        <v>9</v>
      </c>
      <c r="E142" s="3">
        <v>48.613374999999998</v>
      </c>
      <c r="F142" s="3">
        <v>60.268250004115998</v>
      </c>
      <c r="G142" s="3">
        <v>518.14637999999991</v>
      </c>
      <c r="H142" s="3">
        <v>627.02800500411593</v>
      </c>
      <c r="I142" s="3">
        <v>3.0964345926129182</v>
      </c>
      <c r="K142" s="3">
        <f t="shared" si="10"/>
        <v>626.47308473625662</v>
      </c>
      <c r="L142" s="3">
        <f t="shared" si="11"/>
        <v>0.30793650368103942</v>
      </c>
    </row>
    <row r="143" spans="1:12" x14ac:dyDescent="0.25">
      <c r="B143">
        <v>5000</v>
      </c>
      <c r="C143">
        <v>22500000</v>
      </c>
      <c r="D143">
        <v>9</v>
      </c>
      <c r="E143" s="3">
        <v>48.613374999999998</v>
      </c>
      <c r="F143" s="3">
        <v>66.140750004116001</v>
      </c>
      <c r="G143" s="3">
        <v>575.52138000000002</v>
      </c>
      <c r="H143" s="3">
        <v>690.27550500411598</v>
      </c>
      <c r="I143" s="3">
        <v>3.0678911333516266</v>
      </c>
      <c r="K143" s="3">
        <f t="shared" si="10"/>
        <v>690.00670615043009</v>
      </c>
      <c r="L143" s="3">
        <f t="shared" si="11"/>
        <v>7.2252823742850567E-2</v>
      </c>
    </row>
    <row r="144" spans="1:12" x14ac:dyDescent="0.25">
      <c r="B144">
        <v>5500</v>
      </c>
      <c r="C144">
        <v>24750000</v>
      </c>
      <c r="D144">
        <v>9</v>
      </c>
      <c r="E144" s="3">
        <v>48.613374999999998</v>
      </c>
      <c r="F144" s="3">
        <v>72.013250004116003</v>
      </c>
      <c r="G144" s="3">
        <v>632.89638000000002</v>
      </c>
      <c r="H144" s="3">
        <v>753.52300500411604</v>
      </c>
      <c r="I144" s="3">
        <v>3.0445373939560247</v>
      </c>
      <c r="K144" s="3">
        <f t="shared" si="10"/>
        <v>753.54032756460367</v>
      </c>
      <c r="L144" s="3">
        <f t="shared" si="11"/>
        <v>3.0007110184752819E-4</v>
      </c>
    </row>
    <row r="145" spans="1:12" x14ac:dyDescent="0.25">
      <c r="B145">
        <v>6000</v>
      </c>
      <c r="C145">
        <v>27000000</v>
      </c>
      <c r="D145">
        <v>9</v>
      </c>
      <c r="E145" s="3">
        <v>48.613374999999998</v>
      </c>
      <c r="F145" s="3">
        <v>77.885750004116005</v>
      </c>
      <c r="G145" s="3">
        <v>690.27138000000002</v>
      </c>
      <c r="H145" s="3">
        <v>816.77050500411599</v>
      </c>
      <c r="I145" s="3">
        <v>3.0250759444596889</v>
      </c>
      <c r="K145" s="3">
        <f t="shared" si="10"/>
        <v>817.07394897877703</v>
      </c>
      <c r="L145" s="3">
        <f t="shared" si="11"/>
        <v>9.2078245758087457E-2</v>
      </c>
    </row>
    <row r="146" spans="1:12" x14ac:dyDescent="0.25">
      <c r="B146">
        <v>6500</v>
      </c>
      <c r="C146">
        <v>29250000</v>
      </c>
      <c r="D146">
        <v>9</v>
      </c>
      <c r="E146" s="3">
        <v>48.613374999999998</v>
      </c>
      <c r="F146" s="3">
        <v>83.758250004115993</v>
      </c>
      <c r="G146" s="3">
        <v>747.64638000000002</v>
      </c>
      <c r="H146" s="3">
        <v>880.01800500411605</v>
      </c>
      <c r="I146" s="3">
        <v>3.0086085641166362</v>
      </c>
      <c r="K146" s="3">
        <f t="shared" si="10"/>
        <v>880.60757039295061</v>
      </c>
      <c r="L146" s="3">
        <f t="shared" si="11"/>
        <v>0.34758734771164329</v>
      </c>
    </row>
    <row r="147" spans="1:12" x14ac:dyDescent="0.25">
      <c r="B147">
        <v>7000</v>
      </c>
      <c r="C147">
        <v>31500000</v>
      </c>
      <c r="D147">
        <v>9</v>
      </c>
      <c r="E147" s="3">
        <v>48.613374999999998</v>
      </c>
      <c r="F147" s="3">
        <v>89.630750004115995</v>
      </c>
      <c r="G147" s="3">
        <v>805.02138000000002</v>
      </c>
      <c r="H147" s="3">
        <v>943.26550500411599</v>
      </c>
      <c r="I147" s="3">
        <v>2.9944936666797335</v>
      </c>
      <c r="K147" s="3">
        <f t="shared" si="10"/>
        <v>944.14119180712396</v>
      </c>
      <c r="L147" s="3">
        <f t="shared" si="11"/>
        <v>0.76682737696231196</v>
      </c>
    </row>
    <row r="148" spans="1:12" x14ac:dyDescent="0.25">
      <c r="B148">
        <v>7500</v>
      </c>
      <c r="C148">
        <v>33750000</v>
      </c>
      <c r="D148">
        <v>9</v>
      </c>
      <c r="E148" s="3">
        <v>48.613374999999998</v>
      </c>
      <c r="F148" s="3">
        <v>95.503250004115998</v>
      </c>
      <c r="G148" s="3">
        <v>862.39638000000002</v>
      </c>
      <c r="H148" s="3">
        <v>1006.5130050041161</v>
      </c>
      <c r="I148" s="3">
        <v>2.9822607555677512</v>
      </c>
      <c r="K148" s="3">
        <f t="shared" si="10"/>
        <v>1007.6748132212975</v>
      </c>
      <c r="L148" s="3">
        <f t="shared" si="11"/>
        <v>1.3497983335104267</v>
      </c>
    </row>
    <row r="149" spans="1:12" x14ac:dyDescent="0.25">
      <c r="B149">
        <v>8000</v>
      </c>
      <c r="C149">
        <v>36000000</v>
      </c>
      <c r="D149">
        <v>9</v>
      </c>
      <c r="E149" s="3">
        <v>48.613374999999998</v>
      </c>
      <c r="F149" s="3">
        <v>101.375750004116</v>
      </c>
      <c r="G149" s="3">
        <v>919.77137999999991</v>
      </c>
      <c r="H149" s="3">
        <v>1069.7605050041159</v>
      </c>
      <c r="I149" s="3">
        <v>2.9715569583447663</v>
      </c>
      <c r="K149" s="3">
        <f t="shared" si="10"/>
        <v>1071.2084346354709</v>
      </c>
      <c r="L149" s="3">
        <f t="shared" si="11"/>
        <v>2.0965002173558536</v>
      </c>
    </row>
    <row r="150" spans="1:12" x14ac:dyDescent="0.25">
      <c r="B150">
        <v>8500</v>
      </c>
      <c r="C150">
        <v>38250000</v>
      </c>
      <c r="D150">
        <v>9</v>
      </c>
      <c r="E150" s="3">
        <v>48.613374999999998</v>
      </c>
      <c r="F150" s="3">
        <v>107.248250004116</v>
      </c>
      <c r="G150" s="3">
        <v>977.14637999999991</v>
      </c>
      <c r="H150" s="3">
        <v>1133.0080050041158</v>
      </c>
      <c r="I150" s="3">
        <v>2.9621124313833094</v>
      </c>
      <c r="K150" s="3">
        <f t="shared" si="10"/>
        <v>1134.7420560496444</v>
      </c>
      <c r="L150" s="3">
        <f t="shared" si="11"/>
        <v>3.006933028498592</v>
      </c>
    </row>
    <row r="154" spans="1:12" x14ac:dyDescent="0.25">
      <c r="A154" t="s">
        <v>20</v>
      </c>
      <c r="B154">
        <v>5250</v>
      </c>
    </row>
    <row r="155" spans="1:12" x14ac:dyDescent="0.25">
      <c r="A155" t="s">
        <v>21</v>
      </c>
      <c r="B155">
        <v>5</v>
      </c>
    </row>
    <row r="157" spans="1:12" x14ac:dyDescent="0.25">
      <c r="B157" t="s">
        <v>22</v>
      </c>
      <c r="C157" t="s">
        <v>23</v>
      </c>
      <c r="D157" t="s">
        <v>24</v>
      </c>
      <c r="E157" s="3" t="s">
        <v>25</v>
      </c>
      <c r="F157" s="3" t="s">
        <v>26</v>
      </c>
      <c r="G157" s="3" t="s">
        <v>27</v>
      </c>
      <c r="H157" s="3" t="s">
        <v>28</v>
      </c>
      <c r="I157" s="3" t="s">
        <v>29</v>
      </c>
      <c r="K157" t="s">
        <v>32</v>
      </c>
      <c r="L157" t="s">
        <v>33</v>
      </c>
    </row>
    <row r="158" spans="1:12" x14ac:dyDescent="0.25">
      <c r="B158">
        <v>0</v>
      </c>
      <c r="C158">
        <v>0</v>
      </c>
      <c r="D158">
        <v>1</v>
      </c>
      <c r="E158" s="3">
        <v>55.456524999999992</v>
      </c>
      <c r="F158" s="3">
        <v>4.1160000000000003E-9</v>
      </c>
      <c r="G158" s="3">
        <v>1.7713800000000002</v>
      </c>
      <c r="H158" s="3">
        <v>57.227905004115996</v>
      </c>
      <c r="K158" s="3">
        <f>$M$2*$B$154/1000 + $M$3*C158/100000</f>
        <v>63.782240676811263</v>
      </c>
      <c r="L158" s="3">
        <f>(H158-K158)^2</f>
        <v>42.959316110365712</v>
      </c>
    </row>
    <row r="159" spans="1:12" x14ac:dyDescent="0.25">
      <c r="B159">
        <v>500</v>
      </c>
      <c r="C159">
        <v>2625000</v>
      </c>
      <c r="D159">
        <v>3</v>
      </c>
      <c r="E159" s="3">
        <v>55.456524999999992</v>
      </c>
      <c r="F159" s="3">
        <v>9.8640000041160008</v>
      </c>
      <c r="G159" s="3">
        <v>69.496380000000002</v>
      </c>
      <c r="H159" s="3">
        <v>134.81690500411599</v>
      </c>
      <c r="I159" s="3">
        <v>5.1358820953948952</v>
      </c>
      <c r="K159" s="3">
        <f t="shared" ref="K159:K175" si="12">$M$2*$B$154/1000 + $M$3*C159/100000</f>
        <v>137.90479899334699</v>
      </c>
      <c r="L159" s="3">
        <f t="shared" ref="L159:L175" si="13">(H159-K159)^2</f>
        <v>9.5350892887288872</v>
      </c>
    </row>
    <row r="160" spans="1:12" x14ac:dyDescent="0.25">
      <c r="B160">
        <v>1000</v>
      </c>
      <c r="C160">
        <v>5250000</v>
      </c>
      <c r="D160">
        <v>4</v>
      </c>
      <c r="E160" s="3">
        <v>55.456524999999992</v>
      </c>
      <c r="F160" s="3">
        <v>18.497250004115998</v>
      </c>
      <c r="G160" s="3">
        <v>135.64637999999999</v>
      </c>
      <c r="H160" s="3">
        <v>209.60015500411598</v>
      </c>
      <c r="I160" s="3">
        <v>3.9923839048403047</v>
      </c>
      <c r="K160" s="3">
        <f t="shared" si="12"/>
        <v>212.02735730988269</v>
      </c>
      <c r="L160" s="3">
        <f t="shared" si="13"/>
        <v>5.8913110331192469</v>
      </c>
    </row>
    <row r="161" spans="2:12" x14ac:dyDescent="0.25">
      <c r="B161">
        <v>1500</v>
      </c>
      <c r="C161">
        <v>7875000</v>
      </c>
      <c r="D161">
        <v>6</v>
      </c>
      <c r="E161" s="3">
        <v>55.456524999999992</v>
      </c>
      <c r="F161" s="3">
        <v>26.556000004115997</v>
      </c>
      <c r="G161" s="3">
        <v>202.58387999999999</v>
      </c>
      <c r="H161" s="3">
        <v>284.59640500411598</v>
      </c>
      <c r="I161" s="3">
        <v>3.6139226032268694</v>
      </c>
      <c r="K161" s="3">
        <f t="shared" si="12"/>
        <v>286.14991562641842</v>
      </c>
      <c r="L161" s="3">
        <f t="shared" si="13"/>
        <v>2.4133952536065144</v>
      </c>
    </row>
    <row r="162" spans="2:12" x14ac:dyDescent="0.25">
      <c r="B162">
        <v>2000</v>
      </c>
      <c r="C162">
        <v>10500000</v>
      </c>
      <c r="D162">
        <v>7</v>
      </c>
      <c r="E162" s="3">
        <v>55.456524999999992</v>
      </c>
      <c r="F162" s="3">
        <v>34.168750004115999</v>
      </c>
      <c r="G162" s="3">
        <v>269.52138000000002</v>
      </c>
      <c r="H162" s="3">
        <v>359.14665500411604</v>
      </c>
      <c r="I162" s="3">
        <v>3.4204443333725334</v>
      </c>
      <c r="K162" s="3">
        <f t="shared" si="12"/>
        <v>360.27247394295415</v>
      </c>
      <c r="L162" s="3">
        <f t="shared" si="13"/>
        <v>1.2674682830465644</v>
      </c>
    </row>
    <row r="163" spans="2:12" x14ac:dyDescent="0.25">
      <c r="B163">
        <v>2500</v>
      </c>
      <c r="C163">
        <v>13125000</v>
      </c>
      <c r="D163">
        <v>7</v>
      </c>
      <c r="E163" s="3">
        <v>55.456524999999992</v>
      </c>
      <c r="F163" s="3">
        <v>41.403250004115996</v>
      </c>
      <c r="G163" s="3">
        <v>336.45888000000002</v>
      </c>
      <c r="H163" s="3">
        <v>433.31865500411601</v>
      </c>
      <c r="I163" s="3">
        <v>3.3014754666980268</v>
      </c>
      <c r="K163" s="3">
        <f t="shared" si="12"/>
        <v>434.39503225948982</v>
      </c>
      <c r="L163" s="3">
        <f t="shared" si="13"/>
        <v>1.1585879958860639</v>
      </c>
    </row>
    <row r="164" spans="2:12" x14ac:dyDescent="0.25">
      <c r="B164">
        <v>3000</v>
      </c>
      <c r="C164">
        <v>15750000</v>
      </c>
      <c r="D164">
        <v>8</v>
      </c>
      <c r="E164" s="3">
        <v>55.456524999999992</v>
      </c>
      <c r="F164" s="3">
        <v>48.527500004116</v>
      </c>
      <c r="G164" s="3">
        <v>403.39638000000002</v>
      </c>
      <c r="H164" s="3">
        <v>507.38040500411603</v>
      </c>
      <c r="I164" s="3">
        <v>3.2214628889150223</v>
      </c>
      <c r="K164" s="3">
        <f t="shared" si="12"/>
        <v>508.51759057602555</v>
      </c>
      <c r="L164" s="3">
        <f t="shared" si="13"/>
        <v>1.2931910249591969</v>
      </c>
    </row>
    <row r="165" spans="2:12" x14ac:dyDescent="0.25">
      <c r="B165">
        <v>3500</v>
      </c>
      <c r="C165">
        <v>18375000</v>
      </c>
      <c r="D165">
        <v>8</v>
      </c>
      <c r="E165" s="3">
        <v>55.456524999999992</v>
      </c>
      <c r="F165" s="3">
        <v>55.376125004115998</v>
      </c>
      <c r="G165" s="3">
        <v>470.33387999999997</v>
      </c>
      <c r="H165" s="3">
        <v>581.166530004116</v>
      </c>
      <c r="I165" s="3">
        <v>3.1628110476414477</v>
      </c>
      <c r="K165" s="3">
        <f t="shared" si="12"/>
        <v>582.64014889256134</v>
      </c>
      <c r="L165" s="3">
        <f t="shared" si="13"/>
        <v>2.1715526283828912</v>
      </c>
    </row>
    <row r="166" spans="2:12" x14ac:dyDescent="0.25">
      <c r="B166">
        <v>4000</v>
      </c>
      <c r="C166">
        <v>21000000</v>
      </c>
      <c r="D166">
        <v>9</v>
      </c>
      <c r="E166" s="3">
        <v>55.456524999999992</v>
      </c>
      <c r="F166" s="3">
        <v>62.225750004116001</v>
      </c>
      <c r="G166" s="3">
        <v>537.27138000000002</v>
      </c>
      <c r="H166" s="3">
        <v>654.95365500411606</v>
      </c>
      <c r="I166" s="3">
        <v>3.1188269285910288</v>
      </c>
      <c r="K166" s="3">
        <f t="shared" si="12"/>
        <v>656.76270720909702</v>
      </c>
      <c r="L166" s="3">
        <f t="shared" si="13"/>
        <v>3.2726698803464656</v>
      </c>
    </row>
    <row r="167" spans="2:12" x14ac:dyDescent="0.25">
      <c r="B167">
        <v>4500</v>
      </c>
      <c r="C167">
        <v>23625000</v>
      </c>
      <c r="D167">
        <v>9</v>
      </c>
      <c r="E167" s="3">
        <v>55.456524999999992</v>
      </c>
      <c r="F167" s="3">
        <v>69.077000004116002</v>
      </c>
      <c r="G167" s="3">
        <v>604.20888000000002</v>
      </c>
      <c r="H167" s="3">
        <v>728.74240500411599</v>
      </c>
      <c r="I167" s="3">
        <v>3.0846239365253587</v>
      </c>
      <c r="K167" s="3">
        <f t="shared" si="12"/>
        <v>730.88526552563269</v>
      </c>
      <c r="L167" s="3">
        <f t="shared" si="13"/>
        <v>4.5918512146748034</v>
      </c>
    </row>
    <row r="168" spans="2:12" x14ac:dyDescent="0.25">
      <c r="B168">
        <v>5000</v>
      </c>
      <c r="C168">
        <v>26250000</v>
      </c>
      <c r="D168">
        <v>9</v>
      </c>
      <c r="E168" s="3">
        <v>55.456524999999992</v>
      </c>
      <c r="F168" s="3">
        <v>75.928250004115995</v>
      </c>
      <c r="G168" s="3">
        <v>671.14638000000002</v>
      </c>
      <c r="H168" s="3">
        <v>802.53115500411604</v>
      </c>
      <c r="I168" s="3">
        <v>3.0572615428728227</v>
      </c>
      <c r="K168" s="3">
        <f t="shared" si="12"/>
        <v>805.00782384216836</v>
      </c>
      <c r="L168" s="3">
        <f t="shared" si="13"/>
        <v>6.1338885333794249</v>
      </c>
    </row>
    <row r="169" spans="2:12" x14ac:dyDescent="0.25">
      <c r="B169">
        <v>5500</v>
      </c>
      <c r="C169">
        <v>28875000</v>
      </c>
      <c r="D169">
        <v>9</v>
      </c>
      <c r="E169" s="3">
        <v>55.456524999999992</v>
      </c>
      <c r="F169" s="3">
        <v>82.779500004116002</v>
      </c>
      <c r="G169" s="3">
        <v>738.08388000000002</v>
      </c>
      <c r="H169" s="3">
        <v>876.31990500411598</v>
      </c>
      <c r="I169" s="3">
        <v>3.0348741298843844</v>
      </c>
      <c r="K169" s="3">
        <f t="shared" si="12"/>
        <v>879.13038215870415</v>
      </c>
      <c r="L169" s="3">
        <f t="shared" si="13"/>
        <v>7.8987818364620184</v>
      </c>
    </row>
    <row r="170" spans="2:12" x14ac:dyDescent="0.25">
      <c r="B170">
        <v>6000</v>
      </c>
      <c r="C170">
        <v>31500000</v>
      </c>
      <c r="D170">
        <v>9</v>
      </c>
      <c r="E170" s="3">
        <v>55.456524999999992</v>
      </c>
      <c r="F170" s="3">
        <v>89.630750004115995</v>
      </c>
      <c r="G170" s="3">
        <v>805.02138000000002</v>
      </c>
      <c r="H170" s="3">
        <v>950.10865500411603</v>
      </c>
      <c r="I170" s="3">
        <v>3.0162179523940194</v>
      </c>
      <c r="K170" s="3">
        <f t="shared" si="12"/>
        <v>953.25294047523982</v>
      </c>
      <c r="L170" s="3">
        <f t="shared" si="13"/>
        <v>9.8865311239201805</v>
      </c>
    </row>
    <row r="171" spans="2:12" x14ac:dyDescent="0.25">
      <c r="B171">
        <v>6500</v>
      </c>
      <c r="C171">
        <v>34125000</v>
      </c>
      <c r="D171">
        <v>9</v>
      </c>
      <c r="E171" s="3">
        <v>55.456524999999992</v>
      </c>
      <c r="F171" s="3">
        <v>96.482000004116003</v>
      </c>
      <c r="G171" s="3">
        <v>871.95888000000002</v>
      </c>
      <c r="H171" s="3">
        <v>1023.8974050041161</v>
      </c>
      <c r="I171" s="3">
        <v>3.0004319560560178</v>
      </c>
      <c r="K171" s="3">
        <f t="shared" si="12"/>
        <v>1027.3754987917755</v>
      </c>
      <c r="L171" s="3">
        <f t="shared" si="13"/>
        <v>12.097136395755037</v>
      </c>
    </row>
    <row r="172" spans="2:12" x14ac:dyDescent="0.25">
      <c r="B172">
        <v>7000</v>
      </c>
      <c r="C172">
        <v>36750000</v>
      </c>
      <c r="D172">
        <v>9</v>
      </c>
      <c r="E172" s="3">
        <v>55.456524999999992</v>
      </c>
      <c r="F172" s="3">
        <v>103.333250004116</v>
      </c>
      <c r="G172" s="3">
        <v>938.89637999999991</v>
      </c>
      <c r="H172" s="3">
        <v>1097.6861550041158</v>
      </c>
      <c r="I172" s="3">
        <v>2.9869011020520158</v>
      </c>
      <c r="K172" s="3">
        <f t="shared" si="12"/>
        <v>1101.4980571083113</v>
      </c>
      <c r="L172" s="3">
        <f t="shared" si="13"/>
        <v>14.530597651970055</v>
      </c>
    </row>
    <row r="173" spans="2:12" x14ac:dyDescent="0.25">
      <c r="B173">
        <v>7500</v>
      </c>
      <c r="C173">
        <v>39375000</v>
      </c>
      <c r="D173">
        <v>9</v>
      </c>
      <c r="E173" s="3">
        <v>55.456524999999992</v>
      </c>
      <c r="F173" s="3">
        <v>110.184500004116</v>
      </c>
      <c r="G173" s="3">
        <v>1005.8338799999999</v>
      </c>
      <c r="H173" s="3">
        <v>1171.474905004116</v>
      </c>
      <c r="I173" s="3">
        <v>2.9751743619152151</v>
      </c>
      <c r="K173" s="3">
        <f t="shared" si="12"/>
        <v>1175.6206154248468</v>
      </c>
      <c r="L173" s="3">
        <f t="shared" si="13"/>
        <v>17.186914892556718</v>
      </c>
    </row>
    <row r="174" spans="2:12" x14ac:dyDescent="0.25">
      <c r="B174">
        <v>8000</v>
      </c>
      <c r="C174">
        <v>42000000</v>
      </c>
      <c r="D174">
        <v>9</v>
      </c>
      <c r="E174" s="3">
        <v>55.456524999999992</v>
      </c>
      <c r="F174" s="3">
        <v>117.035750004116</v>
      </c>
      <c r="G174" s="3">
        <v>1072.7713799999999</v>
      </c>
      <c r="H174" s="3">
        <v>1245.2636550041159</v>
      </c>
      <c r="I174" s="3">
        <v>2.9649134642955142</v>
      </c>
      <c r="K174" s="3">
        <f t="shared" si="12"/>
        <v>1249.7431737413826</v>
      </c>
      <c r="L174" s="3">
        <f t="shared" si="13"/>
        <v>20.066088117523847</v>
      </c>
    </row>
    <row r="175" spans="2:12" x14ac:dyDescent="0.25">
      <c r="B175">
        <v>8500</v>
      </c>
      <c r="C175">
        <v>44625000</v>
      </c>
      <c r="D175">
        <v>9</v>
      </c>
      <c r="E175" s="3">
        <v>55.456524999999992</v>
      </c>
      <c r="F175" s="3">
        <v>123.887000004116</v>
      </c>
      <c r="G175" s="3">
        <v>1139.7088799999999</v>
      </c>
      <c r="H175" s="3">
        <v>1319.0524050041158</v>
      </c>
      <c r="I175" s="3">
        <v>2.9558597311016599</v>
      </c>
      <c r="K175" s="3">
        <f t="shared" si="12"/>
        <v>1323.8657320579182</v>
      </c>
      <c r="L175" s="3">
        <f t="shared" si="13"/>
        <v>23.168117326865783</v>
      </c>
    </row>
    <row r="179" spans="1:12" x14ac:dyDescent="0.25">
      <c r="A179" t="s">
        <v>20</v>
      </c>
      <c r="B179">
        <v>6000</v>
      </c>
    </row>
    <row r="180" spans="1:12" x14ac:dyDescent="0.25">
      <c r="A180" t="s">
        <v>21</v>
      </c>
      <c r="B180">
        <v>5</v>
      </c>
    </row>
    <row r="182" spans="1:12" x14ac:dyDescent="0.25">
      <c r="B182" t="s">
        <v>22</v>
      </c>
      <c r="C182" t="s">
        <v>23</v>
      </c>
      <c r="D182" t="s">
        <v>24</v>
      </c>
      <c r="E182" s="3" t="s">
        <v>25</v>
      </c>
      <c r="F182" s="3" t="s">
        <v>26</v>
      </c>
      <c r="G182" s="3" t="s">
        <v>27</v>
      </c>
      <c r="H182" s="3" t="s">
        <v>28</v>
      </c>
      <c r="I182" s="3" t="s">
        <v>29</v>
      </c>
      <c r="K182" t="s">
        <v>32</v>
      </c>
      <c r="L182" t="s">
        <v>33</v>
      </c>
    </row>
    <row r="183" spans="1:12" x14ac:dyDescent="0.25">
      <c r="B183">
        <v>0</v>
      </c>
      <c r="C183">
        <v>0</v>
      </c>
      <c r="D183">
        <v>1</v>
      </c>
      <c r="E183" s="3">
        <v>62.299674999999993</v>
      </c>
      <c r="F183" s="3">
        <v>4.1160000000000003E-9</v>
      </c>
      <c r="G183" s="3">
        <v>1.7713800000000002</v>
      </c>
      <c r="H183" s="3">
        <v>64.071055004115991</v>
      </c>
      <c r="K183" s="3">
        <f>$M$2*$B$179/1000 + $M$3*C183/100000</f>
        <v>72.893989344927164</v>
      </c>
      <c r="L183" s="3">
        <f>(H183-K183)^2</f>
        <v>77.844170382265091</v>
      </c>
    </row>
    <row r="184" spans="1:12" x14ac:dyDescent="0.25">
      <c r="B184">
        <v>500</v>
      </c>
      <c r="C184">
        <v>3000000</v>
      </c>
      <c r="D184">
        <v>3</v>
      </c>
      <c r="E184" s="3">
        <v>62.299674999999993</v>
      </c>
      <c r="F184" s="3">
        <v>11.202750004115998</v>
      </c>
      <c r="G184" s="3">
        <v>79.171379999999999</v>
      </c>
      <c r="H184" s="3">
        <v>152.67380500411599</v>
      </c>
      <c r="I184" s="3">
        <v>5.0891268334705329</v>
      </c>
      <c r="K184" s="3">
        <f t="shared" ref="K184:K200" si="14">$M$2*$B$179/1000 + $M$3*C184/100000</f>
        <v>157.60548456382514</v>
      </c>
      <c r="L184" s="3">
        <f t="shared" ref="L184:L200" si="15">(H184-K184)^2</f>
        <v>24.321463279653063</v>
      </c>
    </row>
    <row r="185" spans="1:12" x14ac:dyDescent="0.25">
      <c r="B185">
        <v>1000</v>
      </c>
      <c r="C185">
        <v>6000000</v>
      </c>
      <c r="D185">
        <v>4</v>
      </c>
      <c r="E185" s="3">
        <v>62.299674999999993</v>
      </c>
      <c r="F185" s="3">
        <v>20.928750004115997</v>
      </c>
      <c r="G185" s="3">
        <v>154.77137999999999</v>
      </c>
      <c r="H185" s="3">
        <v>237.99980500411598</v>
      </c>
      <c r="I185" s="3">
        <v>3.9666634167352668</v>
      </c>
      <c r="K185" s="3">
        <f t="shared" si="14"/>
        <v>242.31697978272308</v>
      </c>
      <c r="L185" s="3">
        <f t="shared" si="15"/>
        <v>18.637998069041235</v>
      </c>
    </row>
    <row r="186" spans="1:12" x14ac:dyDescent="0.25">
      <c r="B186">
        <v>1500</v>
      </c>
      <c r="C186">
        <v>9000000</v>
      </c>
      <c r="D186">
        <v>6</v>
      </c>
      <c r="E186" s="3">
        <v>62.299674999999993</v>
      </c>
      <c r="F186" s="3">
        <v>29.856750004115998</v>
      </c>
      <c r="G186" s="3">
        <v>231.27137999999997</v>
      </c>
      <c r="H186" s="3">
        <v>323.42780500411595</v>
      </c>
      <c r="I186" s="3">
        <v>3.5936422778235104</v>
      </c>
      <c r="K186" s="3">
        <f t="shared" si="14"/>
        <v>327.02847500162102</v>
      </c>
      <c r="L186" s="3">
        <f t="shared" si="15"/>
        <v>12.964824430933126</v>
      </c>
    </row>
    <row r="187" spans="1:12" x14ac:dyDescent="0.25">
      <c r="B187">
        <v>2000</v>
      </c>
      <c r="C187">
        <v>12000000</v>
      </c>
      <c r="D187">
        <v>7</v>
      </c>
      <c r="E187" s="3">
        <v>62.299674999999993</v>
      </c>
      <c r="F187" s="3">
        <v>38.302750004116</v>
      </c>
      <c r="G187" s="3">
        <v>307.77138000000002</v>
      </c>
      <c r="H187" s="3">
        <v>408.37380500411598</v>
      </c>
      <c r="I187" s="3">
        <v>3.4031150417009663</v>
      </c>
      <c r="K187" s="3">
        <f t="shared" si="14"/>
        <v>411.73997022051901</v>
      </c>
      <c r="L187" s="3">
        <f t="shared" si="15"/>
        <v>11.331068264121678</v>
      </c>
    </row>
    <row r="188" spans="1:12" x14ac:dyDescent="0.25">
      <c r="B188">
        <v>2500</v>
      </c>
      <c r="C188">
        <v>15000000</v>
      </c>
      <c r="D188">
        <v>7</v>
      </c>
      <c r="E188" s="3">
        <v>62.299674999999993</v>
      </c>
      <c r="F188" s="3">
        <v>46.570750004116</v>
      </c>
      <c r="G188" s="3">
        <v>384.27138000000002</v>
      </c>
      <c r="H188" s="3">
        <v>493.14180500411601</v>
      </c>
      <c r="I188" s="3">
        <v>3.287612033360773</v>
      </c>
      <c r="K188" s="3">
        <f t="shared" si="14"/>
        <v>496.45146543941689</v>
      </c>
      <c r="L188" s="3">
        <f t="shared" si="15"/>
        <v>10.953852196996039</v>
      </c>
    </row>
    <row r="189" spans="1:12" x14ac:dyDescent="0.25">
      <c r="B189">
        <v>3000</v>
      </c>
      <c r="C189">
        <v>18000000</v>
      </c>
      <c r="D189">
        <v>8</v>
      </c>
      <c r="E189" s="3">
        <v>62.299674999999993</v>
      </c>
      <c r="F189" s="3">
        <v>54.397750004115998</v>
      </c>
      <c r="G189" s="3">
        <v>460.77137999999997</v>
      </c>
      <c r="H189" s="3">
        <v>577.46880500411589</v>
      </c>
      <c r="I189" s="3">
        <v>3.2081600278006439</v>
      </c>
      <c r="K189" s="3">
        <f t="shared" si="14"/>
        <v>581.16296065831489</v>
      </c>
      <c r="L189" s="3">
        <f t="shared" si="15"/>
        <v>13.646785997450397</v>
      </c>
    </row>
    <row r="190" spans="1:12" x14ac:dyDescent="0.25">
      <c r="B190">
        <v>3500</v>
      </c>
      <c r="C190">
        <v>21000000</v>
      </c>
      <c r="D190">
        <v>9</v>
      </c>
      <c r="E190" s="3">
        <v>62.299674999999993</v>
      </c>
      <c r="F190" s="3">
        <v>62.225750004116001</v>
      </c>
      <c r="G190" s="3">
        <v>537.27138000000002</v>
      </c>
      <c r="H190" s="3">
        <v>661.79680500411598</v>
      </c>
      <c r="I190" s="3">
        <v>3.1514133571624567</v>
      </c>
      <c r="K190" s="3">
        <f t="shared" si="14"/>
        <v>665.87445587721288</v>
      </c>
      <c r="L190" s="3">
        <f t="shared" si="15"/>
        <v>16.62723664286791</v>
      </c>
    </row>
    <row r="191" spans="1:12" x14ac:dyDescent="0.25">
      <c r="B191">
        <v>4000</v>
      </c>
      <c r="C191">
        <v>24000000</v>
      </c>
      <c r="D191">
        <v>9</v>
      </c>
      <c r="E191" s="3">
        <v>62.299674999999993</v>
      </c>
      <c r="F191" s="3">
        <v>70.055750004115993</v>
      </c>
      <c r="G191" s="3">
        <v>613.77138000000002</v>
      </c>
      <c r="H191" s="3">
        <v>746.12680500411602</v>
      </c>
      <c r="I191" s="3">
        <v>3.10886168751715</v>
      </c>
      <c r="K191" s="3">
        <f t="shared" si="14"/>
        <v>750.58595109611088</v>
      </c>
      <c r="L191" s="3">
        <f t="shared" si="15"/>
        <v>19.883983869752971</v>
      </c>
    </row>
    <row r="192" spans="1:12" x14ac:dyDescent="0.25">
      <c r="B192">
        <v>4500</v>
      </c>
      <c r="C192">
        <v>27000000</v>
      </c>
      <c r="D192">
        <v>9</v>
      </c>
      <c r="E192" s="3">
        <v>62.299674999999993</v>
      </c>
      <c r="F192" s="3">
        <v>77.885750004116005</v>
      </c>
      <c r="G192" s="3">
        <v>690.27138000000002</v>
      </c>
      <c r="H192" s="3">
        <v>830.45680500411595</v>
      </c>
      <c r="I192" s="3">
        <v>3.0757659444596888</v>
      </c>
      <c r="K192" s="3">
        <f t="shared" si="14"/>
        <v>835.29744631500876</v>
      </c>
      <c r="L192" s="3">
        <f t="shared" si="15"/>
        <v>23.431808300722025</v>
      </c>
    </row>
    <row r="193" spans="1:12" x14ac:dyDescent="0.25">
      <c r="B193">
        <v>5000</v>
      </c>
      <c r="C193">
        <v>30000000</v>
      </c>
      <c r="D193">
        <v>9</v>
      </c>
      <c r="E193" s="3">
        <v>62.299674999999993</v>
      </c>
      <c r="F193" s="3">
        <v>85.715750004116003</v>
      </c>
      <c r="G193" s="3">
        <v>766.77138000000002</v>
      </c>
      <c r="H193" s="3">
        <v>914.78680500411599</v>
      </c>
      <c r="I193" s="3">
        <v>3.0492893500137197</v>
      </c>
      <c r="K193" s="3">
        <f t="shared" si="14"/>
        <v>920.00894153390664</v>
      </c>
      <c r="L193" s="3">
        <f t="shared" si="15"/>
        <v>27.27070993577389</v>
      </c>
    </row>
    <row r="194" spans="1:12" x14ac:dyDescent="0.25">
      <c r="B194">
        <v>5500</v>
      </c>
      <c r="C194">
        <v>33000000</v>
      </c>
      <c r="D194">
        <v>9</v>
      </c>
      <c r="E194" s="3">
        <v>62.299674999999993</v>
      </c>
      <c r="F194" s="3">
        <v>93.545750004116002</v>
      </c>
      <c r="G194" s="3">
        <v>843.27138000000002</v>
      </c>
      <c r="H194" s="3">
        <v>999.11680500411603</v>
      </c>
      <c r="I194" s="3">
        <v>3.0276266818306548</v>
      </c>
      <c r="K194" s="3">
        <f t="shared" si="14"/>
        <v>1004.7204367528047</v>
      </c>
      <c r="L194" s="3">
        <f t="shared" si="15"/>
        <v>31.400688774912123</v>
      </c>
    </row>
    <row r="195" spans="1:12" x14ac:dyDescent="0.25">
      <c r="B195">
        <v>6000</v>
      </c>
      <c r="C195">
        <v>36000000</v>
      </c>
      <c r="D195">
        <v>9</v>
      </c>
      <c r="E195" s="3">
        <v>62.299674999999993</v>
      </c>
      <c r="F195" s="3">
        <v>101.375750004116</v>
      </c>
      <c r="G195" s="3">
        <v>919.77137999999991</v>
      </c>
      <c r="H195" s="3">
        <v>1083.446805004116</v>
      </c>
      <c r="I195" s="3">
        <v>3.0095744583447663</v>
      </c>
      <c r="K195" s="3">
        <f t="shared" si="14"/>
        <v>1089.4319319717026</v>
      </c>
      <c r="L195" s="3">
        <f t="shared" si="15"/>
        <v>35.821744818133162</v>
      </c>
    </row>
    <row r="196" spans="1:12" x14ac:dyDescent="0.25">
      <c r="B196">
        <v>6500</v>
      </c>
      <c r="C196">
        <v>39000000</v>
      </c>
      <c r="D196">
        <v>9</v>
      </c>
      <c r="E196" s="3">
        <v>62.299674999999993</v>
      </c>
      <c r="F196" s="3">
        <v>109.205750004116</v>
      </c>
      <c r="G196" s="3">
        <v>996.27137999999991</v>
      </c>
      <c r="H196" s="3">
        <v>1167.7768050041159</v>
      </c>
      <c r="I196" s="3">
        <v>2.9942995000105532</v>
      </c>
      <c r="K196" s="3">
        <f t="shared" si="14"/>
        <v>1174.1434271906005</v>
      </c>
      <c r="L196" s="3">
        <f t="shared" si="15"/>
        <v>40.533878065438195</v>
      </c>
    </row>
    <row r="197" spans="1:12" x14ac:dyDescent="0.25">
      <c r="B197">
        <v>7000</v>
      </c>
      <c r="C197">
        <v>42000000</v>
      </c>
      <c r="D197">
        <v>9</v>
      </c>
      <c r="E197" s="3">
        <v>62.299674999999993</v>
      </c>
      <c r="F197" s="3">
        <v>117.035750004116</v>
      </c>
      <c r="G197" s="3">
        <v>1072.7713799999999</v>
      </c>
      <c r="H197" s="3">
        <v>1252.1068050041158</v>
      </c>
      <c r="I197" s="3">
        <v>2.9812066785812283</v>
      </c>
      <c r="K197" s="3">
        <f t="shared" si="14"/>
        <v>1258.8549224094986</v>
      </c>
      <c r="L197" s="3">
        <f t="shared" si="15"/>
        <v>45.537088516830295</v>
      </c>
    </row>
    <row r="198" spans="1:12" x14ac:dyDescent="0.25">
      <c r="B198">
        <v>7500</v>
      </c>
      <c r="C198">
        <v>45000000</v>
      </c>
      <c r="D198">
        <v>9</v>
      </c>
      <c r="E198" s="3">
        <v>62.299674999999993</v>
      </c>
      <c r="F198" s="3">
        <v>124.86575000411599</v>
      </c>
      <c r="G198" s="3">
        <v>1149.2713799999999</v>
      </c>
      <c r="H198" s="3">
        <v>1336.436805004116</v>
      </c>
      <c r="I198" s="3">
        <v>2.9698595666758134</v>
      </c>
      <c r="K198" s="3">
        <f t="shared" si="14"/>
        <v>1343.5664176283965</v>
      </c>
      <c r="L198" s="3">
        <f t="shared" si="15"/>
        <v>50.831376172300246</v>
      </c>
    </row>
    <row r="199" spans="1:12" x14ac:dyDescent="0.25">
      <c r="B199">
        <v>8000</v>
      </c>
      <c r="C199">
        <v>48000000</v>
      </c>
      <c r="D199">
        <v>9</v>
      </c>
      <c r="E199" s="3">
        <v>62.299674999999993</v>
      </c>
      <c r="F199" s="3">
        <v>132.69575000411601</v>
      </c>
      <c r="G199" s="3">
        <v>1225.7713799999999</v>
      </c>
      <c r="H199" s="3">
        <v>1420.7668050041159</v>
      </c>
      <c r="I199" s="3">
        <v>2.9599308437585745</v>
      </c>
      <c r="K199" s="3">
        <f t="shared" si="14"/>
        <v>1428.2779128472946</v>
      </c>
      <c r="L199" s="3">
        <f t="shared" si="15"/>
        <v>56.416741031860681</v>
      </c>
    </row>
    <row r="200" spans="1:12" x14ac:dyDescent="0.25">
      <c r="B200">
        <v>8500</v>
      </c>
      <c r="C200">
        <v>51000000</v>
      </c>
      <c r="D200">
        <v>9</v>
      </c>
      <c r="E200" s="3">
        <v>62.299674999999993</v>
      </c>
      <c r="F200" s="3">
        <v>140.52575000411599</v>
      </c>
      <c r="G200" s="3">
        <v>1302.2713799999999</v>
      </c>
      <c r="H200" s="3">
        <v>1505.0968050041158</v>
      </c>
      <c r="I200" s="3">
        <v>2.9511702058904232</v>
      </c>
      <c r="K200" s="3">
        <f t="shared" si="14"/>
        <v>1512.9894080661923</v>
      </c>
      <c r="L200" s="3">
        <f t="shared" si="15"/>
        <v>62.293183095498271</v>
      </c>
    </row>
    <row r="204" spans="1:12" x14ac:dyDescent="0.25">
      <c r="A204" t="s">
        <v>20</v>
      </c>
      <c r="B204">
        <v>6750</v>
      </c>
    </row>
    <row r="205" spans="1:12" x14ac:dyDescent="0.25">
      <c r="A205" t="s">
        <v>21</v>
      </c>
      <c r="B205">
        <v>6</v>
      </c>
    </row>
    <row r="207" spans="1:12" x14ac:dyDescent="0.25">
      <c r="B207" t="s">
        <v>22</v>
      </c>
      <c r="C207" t="s">
        <v>23</v>
      </c>
      <c r="D207" t="s">
        <v>24</v>
      </c>
      <c r="E207" s="3" t="s">
        <v>25</v>
      </c>
      <c r="F207" s="3" t="s">
        <v>26</v>
      </c>
      <c r="G207" s="3" t="s">
        <v>27</v>
      </c>
      <c r="H207" s="3" t="s">
        <v>28</v>
      </c>
      <c r="I207" s="3" t="s">
        <v>29</v>
      </c>
      <c r="K207"/>
      <c r="L207"/>
    </row>
    <row r="208" spans="1:12" x14ac:dyDescent="0.25">
      <c r="B208">
        <v>0</v>
      </c>
      <c r="C208">
        <v>0</v>
      </c>
      <c r="D208">
        <v>1</v>
      </c>
      <c r="E208" s="3">
        <v>68.572824999999995</v>
      </c>
      <c r="F208" s="3">
        <v>4.1160000000000003E-9</v>
      </c>
      <c r="G208" s="3">
        <v>1.7713800000000002</v>
      </c>
      <c r="H208" s="3">
        <v>70.344205004115992</v>
      </c>
    </row>
    <row r="209" spans="2:9" x14ac:dyDescent="0.25">
      <c r="B209">
        <v>500</v>
      </c>
      <c r="C209">
        <v>3375000</v>
      </c>
      <c r="D209">
        <v>4</v>
      </c>
      <c r="E209" s="3">
        <v>68.572824999999995</v>
      </c>
      <c r="F209" s="3">
        <v>12.418500004115998</v>
      </c>
      <c r="G209" s="3">
        <v>88.846380000000011</v>
      </c>
      <c r="H209" s="3">
        <v>169.837705004116</v>
      </c>
      <c r="I209" s="3">
        <v>5.0322282964182516</v>
      </c>
    </row>
    <row r="210" spans="2:9" x14ac:dyDescent="0.25">
      <c r="B210">
        <v>1000</v>
      </c>
      <c r="C210">
        <v>6750000</v>
      </c>
      <c r="D210">
        <v>5</v>
      </c>
      <c r="E210" s="3">
        <v>68.572824999999995</v>
      </c>
      <c r="F210" s="3">
        <v>23.223750004115999</v>
      </c>
      <c r="G210" s="3">
        <v>173.89637999999999</v>
      </c>
      <c r="H210" s="3">
        <v>265.69295500411602</v>
      </c>
      <c r="I210" s="3">
        <v>3.9361919259869036</v>
      </c>
    </row>
    <row r="211" spans="2:9" x14ac:dyDescent="0.25">
      <c r="B211">
        <v>1500</v>
      </c>
      <c r="C211">
        <v>10125000</v>
      </c>
      <c r="D211">
        <v>7</v>
      </c>
      <c r="E211" s="3">
        <v>68.572824999999995</v>
      </c>
      <c r="F211" s="3">
        <v>33.135250004115996</v>
      </c>
      <c r="G211" s="3">
        <v>259.95887999999997</v>
      </c>
      <c r="H211" s="3">
        <v>361.66695500411595</v>
      </c>
      <c r="I211" s="3">
        <v>3.5720193086826271</v>
      </c>
    </row>
    <row r="212" spans="2:9" x14ac:dyDescent="0.25">
      <c r="B212">
        <v>2000</v>
      </c>
      <c r="C212">
        <v>13500000</v>
      </c>
      <c r="D212">
        <v>7</v>
      </c>
      <c r="E212" s="3">
        <v>68.572824999999995</v>
      </c>
      <c r="F212" s="3">
        <v>42.436750004116</v>
      </c>
      <c r="G212" s="3">
        <v>346.02138000000002</v>
      </c>
      <c r="H212" s="3">
        <v>457.03095500411598</v>
      </c>
      <c r="I212" s="3">
        <v>3.3854144815119698</v>
      </c>
    </row>
    <row r="213" spans="2:9" x14ac:dyDescent="0.25">
      <c r="B213">
        <v>2500</v>
      </c>
      <c r="C213">
        <v>16875000</v>
      </c>
      <c r="D213">
        <v>8</v>
      </c>
      <c r="E213" s="3">
        <v>68.572824999999995</v>
      </c>
      <c r="F213" s="3">
        <v>51.462625004115999</v>
      </c>
      <c r="G213" s="3">
        <v>432.08388000000002</v>
      </c>
      <c r="H213" s="3">
        <v>552.11933000411602</v>
      </c>
      <c r="I213" s="3">
        <v>3.2718182518762435</v>
      </c>
    </row>
    <row r="214" spans="2:9" x14ac:dyDescent="0.25">
      <c r="B214">
        <v>3000</v>
      </c>
      <c r="C214">
        <v>20250000</v>
      </c>
      <c r="D214">
        <v>9</v>
      </c>
      <c r="E214" s="3">
        <v>68.572824999999995</v>
      </c>
      <c r="F214" s="3">
        <v>60.268250004115998</v>
      </c>
      <c r="G214" s="3">
        <v>518.14637999999991</v>
      </c>
      <c r="H214" s="3">
        <v>646.98745500411587</v>
      </c>
      <c r="I214" s="3">
        <v>3.194999777798103</v>
      </c>
    </row>
    <row r="215" spans="2:9" x14ac:dyDescent="0.25">
      <c r="B215">
        <v>3500</v>
      </c>
      <c r="C215">
        <v>23625000</v>
      </c>
      <c r="D215">
        <v>9</v>
      </c>
      <c r="E215" s="3">
        <v>68.572824999999995</v>
      </c>
      <c r="F215" s="3">
        <v>69.077000004116002</v>
      </c>
      <c r="G215" s="3">
        <v>604.20888000000002</v>
      </c>
      <c r="H215" s="3">
        <v>741.85870500411602</v>
      </c>
      <c r="I215" s="3">
        <v>3.1401426666840888</v>
      </c>
    </row>
    <row r="216" spans="2:9" x14ac:dyDescent="0.25">
      <c r="B216">
        <v>4000</v>
      </c>
      <c r="C216">
        <v>27000000</v>
      </c>
      <c r="D216">
        <v>9</v>
      </c>
      <c r="E216" s="3">
        <v>68.572824999999995</v>
      </c>
      <c r="F216" s="3">
        <v>77.885750004116005</v>
      </c>
      <c r="G216" s="3">
        <v>690.27138000000002</v>
      </c>
      <c r="H216" s="3">
        <v>836.72995500411605</v>
      </c>
      <c r="I216" s="3">
        <v>3.0989998333485778</v>
      </c>
    </row>
    <row r="217" spans="2:9" x14ac:dyDescent="0.25">
      <c r="B217">
        <v>4500</v>
      </c>
      <c r="C217">
        <v>30375000</v>
      </c>
      <c r="D217">
        <v>9</v>
      </c>
      <c r="E217" s="3">
        <v>68.572824999999995</v>
      </c>
      <c r="F217" s="3">
        <v>86.694500004115994</v>
      </c>
      <c r="G217" s="3">
        <v>776.33388000000002</v>
      </c>
      <c r="H217" s="3">
        <v>931.60120500411608</v>
      </c>
      <c r="I217" s="3">
        <v>3.0669998518654027</v>
      </c>
    </row>
    <row r="218" spans="2:9" x14ac:dyDescent="0.25">
      <c r="B218">
        <v>5000</v>
      </c>
      <c r="C218">
        <v>33750000</v>
      </c>
      <c r="D218">
        <v>9</v>
      </c>
      <c r="E218" s="3">
        <v>68.572824999999995</v>
      </c>
      <c r="F218" s="3">
        <v>95.503250004115998</v>
      </c>
      <c r="G218" s="3">
        <v>862.39638000000002</v>
      </c>
      <c r="H218" s="3">
        <v>1026.472455004116</v>
      </c>
      <c r="I218" s="3">
        <v>3.0413998666788622</v>
      </c>
    </row>
    <row r="219" spans="2:9" x14ac:dyDescent="0.25">
      <c r="B219">
        <v>5500</v>
      </c>
      <c r="C219">
        <v>37125000</v>
      </c>
      <c r="D219">
        <v>9</v>
      </c>
      <c r="E219" s="3">
        <v>68.572824999999995</v>
      </c>
      <c r="F219" s="3">
        <v>104.312000004116</v>
      </c>
      <c r="G219" s="3">
        <v>948.45887999999991</v>
      </c>
      <c r="H219" s="3">
        <v>1121.3437050041159</v>
      </c>
      <c r="I219" s="3">
        <v>3.020454424253511</v>
      </c>
    </row>
    <row r="220" spans="2:9" x14ac:dyDescent="0.25">
      <c r="B220">
        <v>6000</v>
      </c>
      <c r="C220">
        <v>40500000</v>
      </c>
      <c r="D220">
        <v>9</v>
      </c>
      <c r="E220" s="3">
        <v>68.572824999999995</v>
      </c>
      <c r="F220" s="3">
        <v>113.120750004116</v>
      </c>
      <c r="G220" s="3">
        <v>1034.5213799999999</v>
      </c>
      <c r="H220" s="3">
        <v>1216.2149550041158</v>
      </c>
      <c r="I220" s="3">
        <v>3.0029998888990512</v>
      </c>
    </row>
    <row r="221" spans="2:9" x14ac:dyDescent="0.25">
      <c r="B221">
        <v>6500</v>
      </c>
      <c r="C221">
        <v>43875000</v>
      </c>
      <c r="D221">
        <v>9</v>
      </c>
      <c r="E221" s="3">
        <v>68.572824999999995</v>
      </c>
      <c r="F221" s="3">
        <v>121.92950000411599</v>
      </c>
      <c r="G221" s="3">
        <v>1120.5838799999999</v>
      </c>
      <c r="H221" s="3">
        <v>1311.086205004116</v>
      </c>
      <c r="I221" s="3">
        <v>2.9882306666760479</v>
      </c>
    </row>
    <row r="222" spans="2:9" x14ac:dyDescent="0.25">
      <c r="B222">
        <v>7000</v>
      </c>
      <c r="C222">
        <v>47250000</v>
      </c>
      <c r="D222">
        <v>9</v>
      </c>
      <c r="E222" s="3">
        <v>68.572824999999995</v>
      </c>
      <c r="F222" s="3">
        <v>130.738250004116</v>
      </c>
      <c r="G222" s="3">
        <v>1206.6463799999999</v>
      </c>
      <c r="H222" s="3">
        <v>1405.9574550041159</v>
      </c>
      <c r="I222" s="3">
        <v>2.9755713333420442</v>
      </c>
    </row>
    <row r="223" spans="2:9" x14ac:dyDescent="0.25">
      <c r="B223">
        <v>7500</v>
      </c>
      <c r="C223">
        <v>50625000</v>
      </c>
      <c r="D223">
        <v>9</v>
      </c>
      <c r="E223" s="3">
        <v>68.572824999999995</v>
      </c>
      <c r="F223" s="3">
        <v>139.547000004116</v>
      </c>
      <c r="G223" s="3">
        <v>1292.7088799999999</v>
      </c>
      <c r="H223" s="3">
        <v>1500.8287050041158</v>
      </c>
      <c r="I223" s="3">
        <v>2.9645999111192411</v>
      </c>
    </row>
    <row r="224" spans="2:9" x14ac:dyDescent="0.25">
      <c r="B224">
        <v>8000</v>
      </c>
      <c r="C224">
        <v>54000000</v>
      </c>
      <c r="D224">
        <v>9</v>
      </c>
      <c r="E224" s="3">
        <v>68.572824999999995</v>
      </c>
      <c r="F224" s="3">
        <v>148.355750004116</v>
      </c>
      <c r="G224" s="3">
        <v>1378.7713799999999</v>
      </c>
      <c r="H224" s="3">
        <v>1595.699955004116</v>
      </c>
      <c r="I224" s="3">
        <v>2.9549999166742889</v>
      </c>
    </row>
    <row r="225" spans="1:12" x14ac:dyDescent="0.25">
      <c r="B225">
        <v>8500</v>
      </c>
      <c r="C225">
        <v>57375000</v>
      </c>
      <c r="D225">
        <v>9</v>
      </c>
      <c r="E225" s="3">
        <v>68.572824999999995</v>
      </c>
      <c r="F225" s="3">
        <v>157.16450000411601</v>
      </c>
      <c r="G225" s="3">
        <v>1464.8338799999999</v>
      </c>
      <c r="H225" s="3">
        <v>1690.5712050041159</v>
      </c>
      <c r="I225" s="3">
        <v>2.9465293333405072</v>
      </c>
    </row>
    <row r="229" spans="1:12" x14ac:dyDescent="0.25">
      <c r="A229" t="s">
        <v>20</v>
      </c>
      <c r="B229">
        <v>7500</v>
      </c>
    </row>
    <row r="230" spans="1:12" x14ac:dyDescent="0.25">
      <c r="A230" t="s">
        <v>21</v>
      </c>
      <c r="B230">
        <v>6</v>
      </c>
    </row>
    <row r="232" spans="1:12" x14ac:dyDescent="0.25">
      <c r="B232" t="s">
        <v>22</v>
      </c>
      <c r="C232" t="s">
        <v>23</v>
      </c>
      <c r="D232" t="s">
        <v>24</v>
      </c>
      <c r="E232" s="3" t="s">
        <v>25</v>
      </c>
      <c r="F232" s="3" t="s">
        <v>26</v>
      </c>
      <c r="G232" s="3" t="s">
        <v>27</v>
      </c>
      <c r="H232" s="3" t="s">
        <v>28</v>
      </c>
      <c r="I232" s="3" t="s">
        <v>29</v>
      </c>
      <c r="K232"/>
      <c r="L232"/>
    </row>
    <row r="233" spans="1:12" x14ac:dyDescent="0.25">
      <c r="B233">
        <v>0</v>
      </c>
      <c r="C233">
        <v>0</v>
      </c>
      <c r="D233">
        <v>1</v>
      </c>
      <c r="E233" s="3">
        <v>74.845974999999996</v>
      </c>
      <c r="F233" s="3">
        <v>4.1160000000000003E-9</v>
      </c>
      <c r="G233" s="3">
        <v>1.7713800000000002</v>
      </c>
      <c r="H233" s="3">
        <v>76.617355004115993</v>
      </c>
    </row>
    <row r="234" spans="1:12" x14ac:dyDescent="0.25">
      <c r="B234">
        <v>500</v>
      </c>
      <c r="C234">
        <v>3750000</v>
      </c>
      <c r="D234">
        <v>4</v>
      </c>
      <c r="E234" s="3">
        <v>74.845974999999996</v>
      </c>
      <c r="F234" s="3">
        <v>13.634250004115998</v>
      </c>
      <c r="G234" s="3">
        <v>98.521380000000008</v>
      </c>
      <c r="H234" s="3">
        <v>187.00160500411602</v>
      </c>
      <c r="I234" s="3">
        <v>4.9867094667764267</v>
      </c>
    </row>
    <row r="235" spans="1:12" x14ac:dyDescent="0.25">
      <c r="B235">
        <v>1000</v>
      </c>
      <c r="C235">
        <v>7500000</v>
      </c>
      <c r="D235">
        <v>6</v>
      </c>
      <c r="E235" s="3">
        <v>74.845974999999996</v>
      </c>
      <c r="F235" s="3">
        <v>25.455750004115998</v>
      </c>
      <c r="G235" s="3">
        <v>193.02137999999999</v>
      </c>
      <c r="H235" s="3">
        <v>293.32310500411597</v>
      </c>
      <c r="I235" s="3">
        <v>3.9109747333882132</v>
      </c>
    </row>
    <row r="236" spans="1:12" x14ac:dyDescent="0.25">
      <c r="B236">
        <v>1500</v>
      </c>
      <c r="C236">
        <v>11250000</v>
      </c>
      <c r="D236">
        <v>7</v>
      </c>
      <c r="E236" s="3">
        <v>74.845974999999996</v>
      </c>
      <c r="F236" s="3">
        <v>36.235750004115999</v>
      </c>
      <c r="G236" s="3">
        <v>288.64638000000002</v>
      </c>
      <c r="H236" s="3">
        <v>399.728105004116</v>
      </c>
      <c r="I236" s="3">
        <v>3.5531387111476977</v>
      </c>
    </row>
    <row r="237" spans="1:12" x14ac:dyDescent="0.25">
      <c r="B237">
        <v>2000</v>
      </c>
      <c r="C237">
        <v>15000000</v>
      </c>
      <c r="D237">
        <v>7</v>
      </c>
      <c r="E237" s="3">
        <v>74.845974999999996</v>
      </c>
      <c r="F237" s="3">
        <v>46.570750004116</v>
      </c>
      <c r="G237" s="3">
        <v>384.27138000000002</v>
      </c>
      <c r="H237" s="3">
        <v>505.68810500411598</v>
      </c>
      <c r="I237" s="3">
        <v>3.3712540333607732</v>
      </c>
    </row>
    <row r="238" spans="1:12" x14ac:dyDescent="0.25">
      <c r="B238">
        <v>2500</v>
      </c>
      <c r="C238">
        <v>18750000</v>
      </c>
      <c r="D238">
        <v>8</v>
      </c>
      <c r="E238" s="3">
        <v>74.845974999999996</v>
      </c>
      <c r="F238" s="3">
        <v>56.354500004115998</v>
      </c>
      <c r="G238" s="3">
        <v>479.89637999999997</v>
      </c>
      <c r="H238" s="3">
        <v>611.09685500411592</v>
      </c>
      <c r="I238" s="3">
        <v>3.2591832266886178</v>
      </c>
    </row>
    <row r="239" spans="1:12" x14ac:dyDescent="0.25">
      <c r="B239">
        <v>3000</v>
      </c>
      <c r="C239">
        <v>22500000</v>
      </c>
      <c r="D239">
        <v>9</v>
      </c>
      <c r="E239" s="3">
        <v>74.845974999999996</v>
      </c>
      <c r="F239" s="3">
        <v>66.140750004116001</v>
      </c>
      <c r="G239" s="3">
        <v>575.52138000000002</v>
      </c>
      <c r="H239" s="3">
        <v>716.50810500411603</v>
      </c>
      <c r="I239" s="3">
        <v>3.1844804666849598</v>
      </c>
    </row>
    <row r="240" spans="1:12" x14ac:dyDescent="0.25">
      <c r="B240">
        <v>3500</v>
      </c>
      <c r="C240">
        <v>26250000</v>
      </c>
      <c r="D240">
        <v>9</v>
      </c>
      <c r="E240" s="3">
        <v>74.845974999999996</v>
      </c>
      <c r="F240" s="3">
        <v>75.928250004115995</v>
      </c>
      <c r="G240" s="3">
        <v>671.14638000000002</v>
      </c>
      <c r="H240" s="3">
        <v>821.92060500411594</v>
      </c>
      <c r="I240" s="3">
        <v>3.1311261143013942</v>
      </c>
    </row>
    <row r="241" spans="1:9" x14ac:dyDescent="0.25">
      <c r="B241">
        <v>4000</v>
      </c>
      <c r="C241">
        <v>30000000</v>
      </c>
      <c r="D241">
        <v>9</v>
      </c>
      <c r="E241" s="3">
        <v>74.845974999999996</v>
      </c>
      <c r="F241" s="3">
        <v>85.715750004116003</v>
      </c>
      <c r="G241" s="3">
        <v>766.77138000000002</v>
      </c>
      <c r="H241" s="3">
        <v>927.33310500411608</v>
      </c>
      <c r="I241" s="3">
        <v>3.0911103500137203</v>
      </c>
    </row>
    <row r="242" spans="1:9" x14ac:dyDescent="0.25">
      <c r="B242">
        <v>4500</v>
      </c>
      <c r="C242">
        <v>33750000</v>
      </c>
      <c r="D242">
        <v>9</v>
      </c>
      <c r="E242" s="3">
        <v>74.845974999999996</v>
      </c>
      <c r="F242" s="3">
        <v>95.503250004115998</v>
      </c>
      <c r="G242" s="3">
        <v>862.39638000000002</v>
      </c>
      <c r="H242" s="3">
        <v>1032.745605004116</v>
      </c>
      <c r="I242" s="3">
        <v>3.0599869777899733</v>
      </c>
    </row>
    <row r="243" spans="1:9" x14ac:dyDescent="0.25">
      <c r="B243">
        <v>5000</v>
      </c>
      <c r="C243">
        <v>37500000</v>
      </c>
      <c r="D243">
        <v>9</v>
      </c>
      <c r="E243" s="3">
        <v>74.845974999999996</v>
      </c>
      <c r="F243" s="3">
        <v>105.29075000411599</v>
      </c>
      <c r="G243" s="3">
        <v>958.02137999999991</v>
      </c>
      <c r="H243" s="3">
        <v>1138.1581050041159</v>
      </c>
      <c r="I243" s="3">
        <v>3.0350882800109757</v>
      </c>
    </row>
    <row r="244" spans="1:9" x14ac:dyDescent="0.25">
      <c r="B244">
        <v>5500</v>
      </c>
      <c r="C244">
        <v>41250000</v>
      </c>
      <c r="D244">
        <v>9</v>
      </c>
      <c r="E244" s="3">
        <v>74.845974999999996</v>
      </c>
      <c r="F244" s="3">
        <v>115.078250004116</v>
      </c>
      <c r="G244" s="3">
        <v>1053.6463799999999</v>
      </c>
      <c r="H244" s="3">
        <v>1243.5706050041158</v>
      </c>
      <c r="I244" s="3">
        <v>3.0147166181917959</v>
      </c>
    </row>
    <row r="245" spans="1:9" x14ac:dyDescent="0.25">
      <c r="B245">
        <v>6000</v>
      </c>
      <c r="C245">
        <v>45000000</v>
      </c>
      <c r="D245">
        <v>9</v>
      </c>
      <c r="E245" s="3">
        <v>74.845974999999996</v>
      </c>
      <c r="F245" s="3">
        <v>124.86575000411599</v>
      </c>
      <c r="G245" s="3">
        <v>1149.2713799999999</v>
      </c>
      <c r="H245" s="3">
        <v>1348.9831050041159</v>
      </c>
      <c r="I245" s="3">
        <v>2.9977402333424799</v>
      </c>
    </row>
    <row r="246" spans="1:9" x14ac:dyDescent="0.25">
      <c r="B246">
        <v>6500</v>
      </c>
      <c r="C246">
        <v>48750000</v>
      </c>
      <c r="D246">
        <v>9</v>
      </c>
      <c r="E246" s="3">
        <v>74.845974999999996</v>
      </c>
      <c r="F246" s="3">
        <v>134.65325000411599</v>
      </c>
      <c r="G246" s="3">
        <v>1244.8963799999999</v>
      </c>
      <c r="H246" s="3">
        <v>1454.3956050041159</v>
      </c>
      <c r="I246" s="3">
        <v>2.9833756000084426</v>
      </c>
    </row>
    <row r="247" spans="1:9" x14ac:dyDescent="0.25">
      <c r="B247">
        <v>7000</v>
      </c>
      <c r="C247">
        <v>52500000</v>
      </c>
      <c r="D247">
        <v>9</v>
      </c>
      <c r="E247" s="3">
        <v>74.845974999999996</v>
      </c>
      <c r="F247" s="3">
        <v>144.44075000411601</v>
      </c>
      <c r="G247" s="3">
        <v>1340.5213799999999</v>
      </c>
      <c r="H247" s="3">
        <v>1559.808105004116</v>
      </c>
      <c r="I247" s="3">
        <v>2.9710630571506971</v>
      </c>
    </row>
    <row r="248" spans="1:9" x14ac:dyDescent="0.25">
      <c r="B248">
        <v>7500</v>
      </c>
      <c r="C248">
        <v>56250000</v>
      </c>
      <c r="D248">
        <v>9</v>
      </c>
      <c r="E248" s="3">
        <v>74.845974999999996</v>
      </c>
      <c r="F248" s="3">
        <v>154.22825000411601</v>
      </c>
      <c r="G248" s="3">
        <v>1436.1463799999999</v>
      </c>
      <c r="H248" s="3">
        <v>1665.2206050041159</v>
      </c>
      <c r="I248" s="3">
        <v>2.9603921866739835</v>
      </c>
    </row>
    <row r="249" spans="1:9" x14ac:dyDescent="0.25">
      <c r="B249">
        <v>8000</v>
      </c>
      <c r="C249">
        <v>60000000</v>
      </c>
      <c r="D249">
        <v>9</v>
      </c>
      <c r="E249" s="3">
        <v>74.845974999999996</v>
      </c>
      <c r="F249" s="3">
        <v>164.015750004116</v>
      </c>
      <c r="G249" s="3">
        <v>1531.7713799999999</v>
      </c>
      <c r="H249" s="3">
        <v>1770.6331050041158</v>
      </c>
      <c r="I249" s="3">
        <v>2.9510551750068599</v>
      </c>
    </row>
    <row r="250" spans="1:9" x14ac:dyDescent="0.25">
      <c r="B250">
        <v>8500</v>
      </c>
      <c r="C250">
        <v>63750000</v>
      </c>
      <c r="D250">
        <v>9</v>
      </c>
      <c r="E250" s="3">
        <v>74.845974999999996</v>
      </c>
      <c r="F250" s="3">
        <v>173.80325000411599</v>
      </c>
      <c r="G250" s="3">
        <v>1627.3963799999999</v>
      </c>
      <c r="H250" s="3">
        <v>1876.0456050041159</v>
      </c>
      <c r="I250" s="3">
        <v>2.942816635300574</v>
      </c>
    </row>
    <row r="254" spans="1:9" x14ac:dyDescent="0.25">
      <c r="A254" t="s">
        <v>20</v>
      </c>
      <c r="B254">
        <v>8250</v>
      </c>
    </row>
    <row r="255" spans="1:9" x14ac:dyDescent="0.25">
      <c r="A255" t="s">
        <v>21</v>
      </c>
      <c r="B255">
        <v>7</v>
      </c>
    </row>
    <row r="257" spans="2:9" x14ac:dyDescent="0.25">
      <c r="B257" t="s">
        <v>22</v>
      </c>
      <c r="C257" t="s">
        <v>23</v>
      </c>
      <c r="D257" t="s">
        <v>24</v>
      </c>
      <c r="E257" s="3" t="s">
        <v>25</v>
      </c>
      <c r="F257" s="3" t="s">
        <v>26</v>
      </c>
      <c r="G257" s="3" t="s">
        <v>27</v>
      </c>
      <c r="H257" s="3" t="s">
        <v>28</v>
      </c>
      <c r="I257" s="3" t="s">
        <v>29</v>
      </c>
    </row>
    <row r="258" spans="2:9" x14ac:dyDescent="0.25">
      <c r="B258">
        <v>0</v>
      </c>
      <c r="C258">
        <v>0</v>
      </c>
      <c r="D258">
        <v>1</v>
      </c>
      <c r="E258" s="3">
        <v>80.834199999999996</v>
      </c>
      <c r="F258" s="3">
        <v>4.1160000000000003E-9</v>
      </c>
      <c r="G258" s="3">
        <v>1.7713800000000002</v>
      </c>
      <c r="H258" s="3">
        <v>82.605580004115993</v>
      </c>
    </row>
    <row r="259" spans="2:9" x14ac:dyDescent="0.25">
      <c r="B259">
        <v>500</v>
      </c>
      <c r="C259">
        <v>4125000</v>
      </c>
      <c r="D259">
        <v>4</v>
      </c>
      <c r="E259" s="3">
        <v>80.834199999999996</v>
      </c>
      <c r="F259" s="3">
        <v>14.850000004116</v>
      </c>
      <c r="G259" s="3">
        <v>108.19638</v>
      </c>
      <c r="H259" s="3">
        <v>203.88058000411598</v>
      </c>
      <c r="I259" s="3">
        <v>4.9425595152512969</v>
      </c>
    </row>
    <row r="260" spans="2:9" x14ac:dyDescent="0.25">
      <c r="B260">
        <v>1000</v>
      </c>
      <c r="C260">
        <v>8250000</v>
      </c>
      <c r="D260">
        <v>6</v>
      </c>
      <c r="E260" s="3">
        <v>80.834199999999996</v>
      </c>
      <c r="F260" s="3">
        <v>27.656250004116</v>
      </c>
      <c r="G260" s="3">
        <v>212.14637999999999</v>
      </c>
      <c r="H260" s="3">
        <v>320.63683000411601</v>
      </c>
      <c r="I260" s="3">
        <v>3.8865070303529214</v>
      </c>
    </row>
    <row r="261" spans="2:9" x14ac:dyDescent="0.25">
      <c r="B261">
        <v>1500</v>
      </c>
      <c r="C261">
        <v>12375000</v>
      </c>
      <c r="D261">
        <v>7</v>
      </c>
      <c r="E261" s="3">
        <v>80.834199999999996</v>
      </c>
      <c r="F261" s="3">
        <v>39.336250004115996</v>
      </c>
      <c r="G261" s="3">
        <v>317.33388000000002</v>
      </c>
      <c r="H261" s="3">
        <v>437.50433000411601</v>
      </c>
      <c r="I261" s="3">
        <v>3.5353885252857862</v>
      </c>
    </row>
    <row r="262" spans="2:9" x14ac:dyDescent="0.25">
      <c r="B262">
        <v>2000</v>
      </c>
      <c r="C262">
        <v>16500000</v>
      </c>
      <c r="D262">
        <v>8</v>
      </c>
      <c r="E262" s="3">
        <v>80.834199999999996</v>
      </c>
      <c r="F262" s="3">
        <v>50.484250004115999</v>
      </c>
      <c r="G262" s="3">
        <v>422.52138000000002</v>
      </c>
      <c r="H262" s="3">
        <v>553.83983000411604</v>
      </c>
      <c r="I262" s="3">
        <v>3.3566050303279762</v>
      </c>
    </row>
    <row r="263" spans="2:9" x14ac:dyDescent="0.25">
      <c r="B263">
        <v>2500</v>
      </c>
      <c r="C263">
        <v>20625000</v>
      </c>
      <c r="D263">
        <v>9</v>
      </c>
      <c r="E263" s="3">
        <v>80.834199999999996</v>
      </c>
      <c r="F263" s="3">
        <v>61.247000004115996</v>
      </c>
      <c r="G263" s="3">
        <v>527.70888000000002</v>
      </c>
      <c r="H263" s="3">
        <v>669.79008000411602</v>
      </c>
      <c r="I263" s="3">
        <v>3.2474670545654112</v>
      </c>
    </row>
    <row r="264" spans="2:9" x14ac:dyDescent="0.25">
      <c r="B264">
        <v>3000</v>
      </c>
      <c r="C264">
        <v>24750000</v>
      </c>
      <c r="D264">
        <v>9</v>
      </c>
      <c r="E264" s="3">
        <v>80.834199999999996</v>
      </c>
      <c r="F264" s="3">
        <v>72.013250004116003</v>
      </c>
      <c r="G264" s="3">
        <v>632.89638000000002</v>
      </c>
      <c r="H264" s="3">
        <v>785.74383000411603</v>
      </c>
      <c r="I264" s="3">
        <v>3.1747225454711758</v>
      </c>
    </row>
    <row r="265" spans="2:9" x14ac:dyDescent="0.25">
      <c r="B265">
        <v>3500</v>
      </c>
      <c r="C265">
        <v>28875000</v>
      </c>
      <c r="D265">
        <v>9</v>
      </c>
      <c r="E265" s="3">
        <v>80.834199999999996</v>
      </c>
      <c r="F265" s="3">
        <v>82.779500004116002</v>
      </c>
      <c r="G265" s="3">
        <v>738.08388000000002</v>
      </c>
      <c r="H265" s="3">
        <v>901.69758000411605</v>
      </c>
      <c r="I265" s="3">
        <v>3.1227621818324369</v>
      </c>
    </row>
    <row r="266" spans="2:9" x14ac:dyDescent="0.25">
      <c r="B266">
        <v>4000</v>
      </c>
      <c r="C266">
        <v>33000000</v>
      </c>
      <c r="D266">
        <v>9</v>
      </c>
      <c r="E266" s="3">
        <v>80.834199999999996</v>
      </c>
      <c r="F266" s="3">
        <v>93.545750004116002</v>
      </c>
      <c r="G266" s="3">
        <v>843.27138000000002</v>
      </c>
      <c r="H266" s="3">
        <v>1017.6513300041161</v>
      </c>
      <c r="I266" s="3">
        <v>3.0837919091033821</v>
      </c>
    </row>
    <row r="267" spans="2:9" x14ac:dyDescent="0.25">
      <c r="B267">
        <v>4500</v>
      </c>
      <c r="C267">
        <v>37125000</v>
      </c>
      <c r="D267">
        <v>9</v>
      </c>
      <c r="E267" s="3">
        <v>80.834199999999996</v>
      </c>
      <c r="F267" s="3">
        <v>104.312000004116</v>
      </c>
      <c r="G267" s="3">
        <v>948.45887999999991</v>
      </c>
      <c r="H267" s="3">
        <v>1133.605080004116</v>
      </c>
      <c r="I267" s="3">
        <v>3.0534816969807839</v>
      </c>
    </row>
    <row r="268" spans="2:9" x14ac:dyDescent="0.25">
      <c r="B268">
        <v>5000</v>
      </c>
      <c r="C268">
        <v>41250000</v>
      </c>
      <c r="D268">
        <v>9</v>
      </c>
      <c r="E268" s="3">
        <v>80.834199999999996</v>
      </c>
      <c r="F268" s="3">
        <v>115.078250004116</v>
      </c>
      <c r="G268" s="3">
        <v>1053.6463799999999</v>
      </c>
      <c r="H268" s="3">
        <v>1249.5588300041159</v>
      </c>
      <c r="I268" s="3">
        <v>3.0292335272827051</v>
      </c>
    </row>
    <row r="269" spans="2:9" x14ac:dyDescent="0.25">
      <c r="B269">
        <v>5500</v>
      </c>
      <c r="C269">
        <v>45375000</v>
      </c>
      <c r="D269">
        <v>9</v>
      </c>
      <c r="E269" s="3">
        <v>80.834199999999996</v>
      </c>
      <c r="F269" s="3">
        <v>125.844500004116</v>
      </c>
      <c r="G269" s="3">
        <v>1158.8338799999999</v>
      </c>
      <c r="H269" s="3">
        <v>1365.512580004116</v>
      </c>
      <c r="I269" s="3">
        <v>3.0093941157115505</v>
      </c>
    </row>
    <row r="270" spans="2:9" x14ac:dyDescent="0.25">
      <c r="B270">
        <v>6000</v>
      </c>
      <c r="C270">
        <v>49500000</v>
      </c>
      <c r="D270">
        <v>9</v>
      </c>
      <c r="E270" s="3">
        <v>80.834199999999996</v>
      </c>
      <c r="F270" s="3">
        <v>136.610750004116</v>
      </c>
      <c r="G270" s="3">
        <v>1264.0213799999999</v>
      </c>
      <c r="H270" s="3">
        <v>1481.4663300041159</v>
      </c>
      <c r="I270" s="3">
        <v>2.9928612727355874</v>
      </c>
    </row>
    <row r="271" spans="2:9" x14ac:dyDescent="0.25">
      <c r="B271">
        <v>6500</v>
      </c>
      <c r="C271">
        <v>53625000</v>
      </c>
      <c r="D271">
        <v>9</v>
      </c>
      <c r="E271" s="3">
        <v>80.834199999999996</v>
      </c>
      <c r="F271" s="3">
        <v>147.37700000411598</v>
      </c>
      <c r="G271" s="3">
        <v>1369.2088799999999</v>
      </c>
      <c r="H271" s="3">
        <v>1597.4200800041158</v>
      </c>
      <c r="I271" s="3">
        <v>2.9788719440636191</v>
      </c>
    </row>
    <row r="272" spans="2:9" x14ac:dyDescent="0.25">
      <c r="B272">
        <v>7000</v>
      </c>
      <c r="C272">
        <v>57750000</v>
      </c>
      <c r="D272">
        <v>9</v>
      </c>
      <c r="E272" s="3">
        <v>80.834199999999996</v>
      </c>
      <c r="F272" s="3">
        <v>158.143250004116</v>
      </c>
      <c r="G272" s="3">
        <v>1474.3963799999999</v>
      </c>
      <c r="H272" s="3">
        <v>1713.3738300041159</v>
      </c>
      <c r="I272" s="3">
        <v>2.966881090916218</v>
      </c>
    </row>
    <row r="273" spans="1:9" x14ac:dyDescent="0.25">
      <c r="B273">
        <v>7500</v>
      </c>
      <c r="C273">
        <v>61875000</v>
      </c>
      <c r="D273">
        <v>9</v>
      </c>
      <c r="E273" s="3">
        <v>80.834199999999996</v>
      </c>
      <c r="F273" s="3">
        <v>168.90950000411601</v>
      </c>
      <c r="G273" s="3">
        <v>1579.5838799999999</v>
      </c>
      <c r="H273" s="3">
        <v>1829.327580004116</v>
      </c>
      <c r="I273" s="3">
        <v>2.9564890181884702</v>
      </c>
    </row>
    <row r="274" spans="1:9" x14ac:dyDescent="0.25">
      <c r="B274">
        <v>8000</v>
      </c>
      <c r="C274">
        <v>66000000</v>
      </c>
      <c r="D274">
        <v>9</v>
      </c>
      <c r="E274" s="3">
        <v>80.834199999999996</v>
      </c>
      <c r="F274" s="3">
        <v>179.675750004116</v>
      </c>
      <c r="G274" s="3">
        <v>1684.7713799999999</v>
      </c>
      <c r="H274" s="3">
        <v>1945.2813300041159</v>
      </c>
      <c r="I274" s="3">
        <v>2.9473959545516908</v>
      </c>
    </row>
    <row r="275" spans="1:9" x14ac:dyDescent="0.25">
      <c r="B275">
        <v>8500</v>
      </c>
      <c r="C275">
        <v>70125000</v>
      </c>
      <c r="D275">
        <v>9</v>
      </c>
      <c r="E275" s="3">
        <v>80.834199999999996</v>
      </c>
      <c r="F275" s="3">
        <v>190.44200000411601</v>
      </c>
      <c r="G275" s="3">
        <v>1789.9588799999999</v>
      </c>
      <c r="H275" s="3">
        <v>2061.2350800041158</v>
      </c>
      <c r="I275" s="3">
        <v>2.9393726631074735</v>
      </c>
    </row>
    <row r="279" spans="1:9" x14ac:dyDescent="0.25">
      <c r="A279" t="s">
        <v>20</v>
      </c>
      <c r="B279">
        <v>9000</v>
      </c>
    </row>
    <row r="280" spans="1:9" x14ac:dyDescent="0.25">
      <c r="A280" t="s">
        <v>21</v>
      </c>
      <c r="B280">
        <v>7</v>
      </c>
    </row>
    <row r="282" spans="1:9" x14ac:dyDescent="0.25">
      <c r="B282" t="s">
        <v>22</v>
      </c>
      <c r="C282" t="s">
        <v>23</v>
      </c>
      <c r="D282" t="s">
        <v>24</v>
      </c>
      <c r="E282" s="3" t="s">
        <v>25</v>
      </c>
      <c r="F282" s="3" t="s">
        <v>26</v>
      </c>
      <c r="G282" s="3" t="s">
        <v>27</v>
      </c>
      <c r="H282" s="3" t="s">
        <v>28</v>
      </c>
      <c r="I282" s="3" t="s">
        <v>29</v>
      </c>
    </row>
    <row r="283" spans="1:9" x14ac:dyDescent="0.25">
      <c r="B283">
        <v>0</v>
      </c>
      <c r="C283">
        <v>0</v>
      </c>
      <c r="D283">
        <v>1</v>
      </c>
      <c r="E283" s="3">
        <v>86.822424999999981</v>
      </c>
      <c r="F283" s="3">
        <v>4.1160000000000003E-9</v>
      </c>
      <c r="G283" s="3">
        <v>1.7713800000000002</v>
      </c>
      <c r="H283" s="3">
        <v>88.593805004115978</v>
      </c>
    </row>
    <row r="284" spans="1:9" x14ac:dyDescent="0.25">
      <c r="B284">
        <v>500</v>
      </c>
      <c r="C284">
        <v>4500000</v>
      </c>
      <c r="D284">
        <v>4</v>
      </c>
      <c r="E284" s="3">
        <v>86.822424999999981</v>
      </c>
      <c r="F284" s="3">
        <v>16.065750004115998</v>
      </c>
      <c r="G284" s="3">
        <v>117.87137999999999</v>
      </c>
      <c r="H284" s="3">
        <v>220.75955500411595</v>
      </c>
      <c r="I284" s="3">
        <v>4.9057678889803551</v>
      </c>
    </row>
    <row r="285" spans="1:9" x14ac:dyDescent="0.25">
      <c r="B285">
        <v>1000</v>
      </c>
      <c r="C285">
        <v>9000000</v>
      </c>
      <c r="D285">
        <v>6</v>
      </c>
      <c r="E285" s="3">
        <v>86.822424999999981</v>
      </c>
      <c r="F285" s="3">
        <v>29.856750004115998</v>
      </c>
      <c r="G285" s="3">
        <v>231.27137999999997</v>
      </c>
      <c r="H285" s="3">
        <v>347.95055500411593</v>
      </c>
      <c r="I285" s="3">
        <v>3.86611727782351</v>
      </c>
    </row>
    <row r="286" spans="1:9" x14ac:dyDescent="0.25">
      <c r="B286">
        <v>1500</v>
      </c>
      <c r="C286">
        <v>13500000</v>
      </c>
      <c r="D286">
        <v>7</v>
      </c>
      <c r="E286" s="3">
        <v>86.822424999999981</v>
      </c>
      <c r="F286" s="3">
        <v>42.436750004116</v>
      </c>
      <c r="G286" s="3">
        <v>346.02138000000002</v>
      </c>
      <c r="H286" s="3">
        <v>475.28055500411597</v>
      </c>
      <c r="I286" s="3">
        <v>3.5205967037341925</v>
      </c>
    </row>
    <row r="287" spans="1:9" x14ac:dyDescent="0.25">
      <c r="B287">
        <v>2000</v>
      </c>
      <c r="C287">
        <v>18000000</v>
      </c>
      <c r="D287">
        <v>8</v>
      </c>
      <c r="E287" s="3">
        <v>86.822424999999981</v>
      </c>
      <c r="F287" s="3">
        <v>54.397750004115998</v>
      </c>
      <c r="G287" s="3">
        <v>460.77137999999997</v>
      </c>
      <c r="H287" s="3">
        <v>601.99155500411598</v>
      </c>
      <c r="I287" s="3">
        <v>3.3443975278006444</v>
      </c>
    </row>
    <row r="288" spans="1:9" x14ac:dyDescent="0.25">
      <c r="B288">
        <v>2500</v>
      </c>
      <c r="C288">
        <v>22500000</v>
      </c>
      <c r="D288">
        <v>9</v>
      </c>
      <c r="E288" s="3">
        <v>86.822424999999981</v>
      </c>
      <c r="F288" s="3">
        <v>66.140750004116001</v>
      </c>
      <c r="G288" s="3">
        <v>575.52138000000002</v>
      </c>
      <c r="H288" s="3">
        <v>728.48455500411603</v>
      </c>
      <c r="I288" s="3">
        <v>3.2377091333516268</v>
      </c>
    </row>
    <row r="289" spans="1:9" x14ac:dyDescent="0.25">
      <c r="B289">
        <v>3000</v>
      </c>
      <c r="C289">
        <v>27000000</v>
      </c>
      <c r="D289">
        <v>9</v>
      </c>
      <c r="E289" s="3">
        <v>86.822424999999981</v>
      </c>
      <c r="F289" s="3">
        <v>77.885750004116005</v>
      </c>
      <c r="G289" s="3">
        <v>690.27138000000002</v>
      </c>
      <c r="H289" s="3">
        <v>854.97955500411604</v>
      </c>
      <c r="I289" s="3">
        <v>3.1665909444596889</v>
      </c>
    </row>
    <row r="290" spans="1:9" x14ac:dyDescent="0.25">
      <c r="B290">
        <v>3500</v>
      </c>
      <c r="C290">
        <v>31500000</v>
      </c>
      <c r="D290">
        <v>9</v>
      </c>
      <c r="E290" s="3">
        <v>86.822424999999981</v>
      </c>
      <c r="F290" s="3">
        <v>89.630750004115995</v>
      </c>
      <c r="G290" s="3">
        <v>805.02138000000002</v>
      </c>
      <c r="H290" s="3">
        <v>981.47455500411593</v>
      </c>
      <c r="I290" s="3">
        <v>3.1157922381083045</v>
      </c>
    </row>
    <row r="291" spans="1:9" x14ac:dyDescent="0.25">
      <c r="B291">
        <v>4000</v>
      </c>
      <c r="C291">
        <v>36000000</v>
      </c>
      <c r="D291">
        <v>9</v>
      </c>
      <c r="E291" s="3">
        <v>86.822424999999981</v>
      </c>
      <c r="F291" s="3">
        <v>101.375750004116</v>
      </c>
      <c r="G291" s="3">
        <v>919.77137999999991</v>
      </c>
      <c r="H291" s="3">
        <v>1107.9695550041158</v>
      </c>
      <c r="I291" s="3">
        <v>3.0776932083447659</v>
      </c>
    </row>
    <row r="292" spans="1:9" x14ac:dyDescent="0.25">
      <c r="B292">
        <v>4500</v>
      </c>
      <c r="C292">
        <v>40500000</v>
      </c>
      <c r="D292">
        <v>9</v>
      </c>
      <c r="E292" s="3">
        <v>86.822424999999981</v>
      </c>
      <c r="F292" s="3">
        <v>113.120750004116</v>
      </c>
      <c r="G292" s="3">
        <v>1034.5213799999999</v>
      </c>
      <c r="H292" s="3">
        <v>1234.4645550041159</v>
      </c>
      <c r="I292" s="3">
        <v>3.0480606296397923</v>
      </c>
    </row>
    <row r="293" spans="1:9" x14ac:dyDescent="0.25">
      <c r="B293">
        <v>5000</v>
      </c>
      <c r="C293">
        <v>45000000</v>
      </c>
      <c r="D293">
        <v>9</v>
      </c>
      <c r="E293" s="3">
        <v>86.822424999999981</v>
      </c>
      <c r="F293" s="3">
        <v>124.86575000411599</v>
      </c>
      <c r="G293" s="3">
        <v>1149.2713799999999</v>
      </c>
      <c r="H293" s="3">
        <v>1360.9595550041158</v>
      </c>
      <c r="I293" s="3">
        <v>3.0243545666758127</v>
      </c>
    </row>
    <row r="294" spans="1:9" x14ac:dyDescent="0.25">
      <c r="B294">
        <v>5500</v>
      </c>
      <c r="C294">
        <v>49500000</v>
      </c>
      <c r="D294">
        <v>9</v>
      </c>
      <c r="E294" s="3">
        <v>86.822424999999981</v>
      </c>
      <c r="F294" s="3">
        <v>136.610750004116</v>
      </c>
      <c r="G294" s="3">
        <v>1264.0213799999999</v>
      </c>
      <c r="H294" s="3">
        <v>1487.4545550041159</v>
      </c>
      <c r="I294" s="3">
        <v>3.004958696978012</v>
      </c>
    </row>
    <row r="295" spans="1:9" x14ac:dyDescent="0.25">
      <c r="B295">
        <v>6000</v>
      </c>
      <c r="C295">
        <v>54000000</v>
      </c>
      <c r="D295">
        <v>9</v>
      </c>
      <c r="E295" s="3">
        <v>86.822424999999981</v>
      </c>
      <c r="F295" s="3">
        <v>148.355750004116</v>
      </c>
      <c r="G295" s="3">
        <v>1378.7713799999999</v>
      </c>
      <c r="H295" s="3">
        <v>1613.9495550041158</v>
      </c>
      <c r="I295" s="3">
        <v>2.9887954722298442</v>
      </c>
    </row>
    <row r="296" spans="1:9" x14ac:dyDescent="0.25">
      <c r="B296">
        <v>6500</v>
      </c>
      <c r="C296">
        <v>58500000</v>
      </c>
      <c r="D296">
        <v>9</v>
      </c>
      <c r="E296" s="3">
        <v>86.822424999999981</v>
      </c>
      <c r="F296" s="3">
        <v>160.10075000411601</v>
      </c>
      <c r="G296" s="3">
        <v>1493.5213799999999</v>
      </c>
      <c r="H296" s="3">
        <v>1740.444555004116</v>
      </c>
      <c r="I296" s="3">
        <v>2.9751188974429335</v>
      </c>
    </row>
    <row r="297" spans="1:9" x14ac:dyDescent="0.25">
      <c r="B297">
        <v>7000</v>
      </c>
      <c r="C297">
        <v>63000000</v>
      </c>
      <c r="D297">
        <v>9</v>
      </c>
      <c r="E297" s="3">
        <v>86.822424999999981</v>
      </c>
      <c r="F297" s="3">
        <v>171.84575000411598</v>
      </c>
      <c r="G297" s="3">
        <v>1608.2713799999999</v>
      </c>
      <c r="H297" s="3">
        <v>1866.9395550041158</v>
      </c>
      <c r="I297" s="3">
        <v>2.9633961190541522</v>
      </c>
    </row>
    <row r="298" spans="1:9" x14ac:dyDescent="0.25">
      <c r="B298">
        <v>7500</v>
      </c>
      <c r="C298">
        <v>67500000</v>
      </c>
      <c r="D298">
        <v>9</v>
      </c>
      <c r="E298" s="3">
        <v>86.822424999999981</v>
      </c>
      <c r="F298" s="3">
        <v>183.59075000411599</v>
      </c>
      <c r="G298" s="3">
        <v>1723.0213799999999</v>
      </c>
      <c r="H298" s="3">
        <v>1993.4345550041157</v>
      </c>
      <c r="I298" s="3">
        <v>2.9532363777838753</v>
      </c>
    </row>
    <row r="299" spans="1:9" x14ac:dyDescent="0.25">
      <c r="B299">
        <v>8000</v>
      </c>
      <c r="C299">
        <v>72000000</v>
      </c>
      <c r="D299">
        <v>9</v>
      </c>
      <c r="E299" s="3">
        <v>86.822424999999981</v>
      </c>
      <c r="F299" s="3">
        <v>195.33575000411599</v>
      </c>
      <c r="G299" s="3">
        <v>1837.7713799999997</v>
      </c>
      <c r="H299" s="3">
        <v>2119.9295550041156</v>
      </c>
      <c r="I299" s="3">
        <v>2.9443466041723827</v>
      </c>
    </row>
    <row r="300" spans="1:9" x14ac:dyDescent="0.25">
      <c r="B300">
        <v>8500</v>
      </c>
      <c r="C300">
        <v>76500000</v>
      </c>
      <c r="D300">
        <v>9</v>
      </c>
      <c r="E300" s="3">
        <v>86.822424999999981</v>
      </c>
      <c r="F300" s="3">
        <v>207.080750004116</v>
      </c>
      <c r="G300" s="3">
        <v>1952.5213799999997</v>
      </c>
      <c r="H300" s="3">
        <v>2246.4245550041155</v>
      </c>
      <c r="I300" s="3">
        <v>2.9365026862798898</v>
      </c>
    </row>
    <row r="304" spans="1:9" x14ac:dyDescent="0.25">
      <c r="A304" t="s">
        <v>20</v>
      </c>
      <c r="B304">
        <v>9750</v>
      </c>
    </row>
    <row r="305" spans="1:9" x14ac:dyDescent="0.25">
      <c r="A305" t="s">
        <v>21</v>
      </c>
      <c r="B305">
        <v>7</v>
      </c>
    </row>
    <row r="307" spans="1:9" x14ac:dyDescent="0.25">
      <c r="B307" t="s">
        <v>22</v>
      </c>
      <c r="C307" t="s">
        <v>23</v>
      </c>
      <c r="D307" t="s">
        <v>24</v>
      </c>
      <c r="E307" s="3" t="s">
        <v>25</v>
      </c>
      <c r="F307" s="3" t="s">
        <v>26</v>
      </c>
      <c r="G307" s="3" t="s">
        <v>27</v>
      </c>
      <c r="H307" s="3" t="s">
        <v>28</v>
      </c>
      <c r="I307" s="3" t="s">
        <v>29</v>
      </c>
    </row>
    <row r="308" spans="1:9" x14ac:dyDescent="0.25">
      <c r="B308">
        <v>0</v>
      </c>
      <c r="C308">
        <v>0</v>
      </c>
      <c r="D308">
        <v>1</v>
      </c>
      <c r="E308" s="3">
        <v>92.810649999999995</v>
      </c>
      <c r="F308" s="3">
        <v>4.1160000000000003E-9</v>
      </c>
      <c r="G308" s="3">
        <v>1.7713800000000002</v>
      </c>
      <c r="H308" s="3">
        <v>94.582030004115992</v>
      </c>
    </row>
    <row r="309" spans="1:9" x14ac:dyDescent="0.25">
      <c r="B309">
        <v>500</v>
      </c>
      <c r="C309">
        <v>4875000</v>
      </c>
      <c r="D309">
        <v>4</v>
      </c>
      <c r="E309" s="3">
        <v>92.810649999999995</v>
      </c>
      <c r="F309" s="3">
        <v>17.281500004115998</v>
      </c>
      <c r="G309" s="3">
        <v>127.54637999999998</v>
      </c>
      <c r="H309" s="3">
        <v>237.63853000411598</v>
      </c>
      <c r="I309" s="3">
        <v>4.8746365129049432</v>
      </c>
    </row>
    <row r="310" spans="1:9" x14ac:dyDescent="0.25">
      <c r="B310">
        <v>1000</v>
      </c>
      <c r="C310">
        <v>9750000</v>
      </c>
      <c r="D310">
        <v>6</v>
      </c>
      <c r="E310" s="3">
        <v>92.810649999999995</v>
      </c>
      <c r="F310" s="3">
        <v>32.057250004116</v>
      </c>
      <c r="G310" s="3">
        <v>250.39637999999997</v>
      </c>
      <c r="H310" s="3">
        <v>375.26428000411596</v>
      </c>
      <c r="I310" s="3">
        <v>3.8488644102986251</v>
      </c>
    </row>
    <row r="311" spans="1:9" x14ac:dyDescent="0.25">
      <c r="B311">
        <v>1500</v>
      </c>
      <c r="C311">
        <v>14625000</v>
      </c>
      <c r="D311">
        <v>7</v>
      </c>
      <c r="E311" s="3">
        <v>92.810649999999995</v>
      </c>
      <c r="F311" s="3">
        <v>45.537250004115997</v>
      </c>
      <c r="G311" s="3">
        <v>374.70888000000002</v>
      </c>
      <c r="H311" s="3">
        <v>513.05678000411604</v>
      </c>
      <c r="I311" s="3">
        <v>3.5080805470366907</v>
      </c>
    </row>
    <row r="312" spans="1:9" x14ac:dyDescent="0.25">
      <c r="B312">
        <v>2000</v>
      </c>
      <c r="C312">
        <v>19500000</v>
      </c>
      <c r="D312">
        <v>8</v>
      </c>
      <c r="E312" s="3">
        <v>92.810649999999995</v>
      </c>
      <c r="F312" s="3">
        <v>58.311250004115998</v>
      </c>
      <c r="G312" s="3">
        <v>499.02137999999997</v>
      </c>
      <c r="H312" s="3">
        <v>650.14328000411592</v>
      </c>
      <c r="I312" s="3">
        <v>3.3340681025852104</v>
      </c>
    </row>
    <row r="313" spans="1:9" x14ac:dyDescent="0.25">
      <c r="B313">
        <v>2500</v>
      </c>
      <c r="C313">
        <v>24375000</v>
      </c>
      <c r="D313">
        <v>9</v>
      </c>
      <c r="E313" s="3">
        <v>92.810649999999995</v>
      </c>
      <c r="F313" s="3">
        <v>71.034500004115998</v>
      </c>
      <c r="G313" s="3">
        <v>623.33388000000002</v>
      </c>
      <c r="H313" s="3">
        <v>787.17903000411604</v>
      </c>
      <c r="I313" s="3">
        <v>3.2294524307861172</v>
      </c>
    </row>
    <row r="314" spans="1:9" x14ac:dyDescent="0.25">
      <c r="B314">
        <v>3000</v>
      </c>
      <c r="C314">
        <v>29250000</v>
      </c>
      <c r="D314">
        <v>9</v>
      </c>
      <c r="E314" s="3">
        <v>92.810649999999995</v>
      </c>
      <c r="F314" s="3">
        <v>83.758250004115993</v>
      </c>
      <c r="G314" s="3">
        <v>747.64638000000002</v>
      </c>
      <c r="H314" s="3">
        <v>924.21528000411604</v>
      </c>
      <c r="I314" s="3">
        <v>3.1597103589884306</v>
      </c>
    </row>
    <row r="315" spans="1:9" x14ac:dyDescent="0.25">
      <c r="B315">
        <v>3500</v>
      </c>
      <c r="C315">
        <v>34125000</v>
      </c>
      <c r="D315">
        <v>9</v>
      </c>
      <c r="E315" s="3">
        <v>92.810649999999995</v>
      </c>
      <c r="F315" s="3">
        <v>96.482000004116003</v>
      </c>
      <c r="G315" s="3">
        <v>871.95888000000002</v>
      </c>
      <c r="H315" s="3">
        <v>1061.2515300041159</v>
      </c>
      <c r="I315" s="3">
        <v>3.1098945934186548</v>
      </c>
    </row>
    <row r="316" spans="1:9" x14ac:dyDescent="0.25">
      <c r="B316">
        <v>4000</v>
      </c>
      <c r="C316">
        <v>39000000</v>
      </c>
      <c r="D316">
        <v>9</v>
      </c>
      <c r="E316" s="3">
        <v>92.810649999999995</v>
      </c>
      <c r="F316" s="3">
        <v>109.205750004116</v>
      </c>
      <c r="G316" s="3">
        <v>996.27137999999991</v>
      </c>
      <c r="H316" s="3">
        <v>1198.287780004116</v>
      </c>
      <c r="I316" s="3">
        <v>3.0725327692413233</v>
      </c>
    </row>
    <row r="317" spans="1:9" x14ac:dyDescent="0.25">
      <c r="B317">
        <v>4500</v>
      </c>
      <c r="C317">
        <v>43875000</v>
      </c>
      <c r="D317">
        <v>9</v>
      </c>
      <c r="E317" s="3">
        <v>92.810649999999995</v>
      </c>
      <c r="F317" s="3">
        <v>121.92950000411599</v>
      </c>
      <c r="G317" s="3">
        <v>1120.5838799999999</v>
      </c>
      <c r="H317" s="3">
        <v>1335.3240300041159</v>
      </c>
      <c r="I317" s="3">
        <v>3.0434735726589537</v>
      </c>
    </row>
    <row r="318" spans="1:9" x14ac:dyDescent="0.25">
      <c r="B318">
        <v>5000</v>
      </c>
      <c r="C318">
        <v>48750000</v>
      </c>
      <c r="D318">
        <v>9</v>
      </c>
      <c r="E318" s="3">
        <v>92.810649999999995</v>
      </c>
      <c r="F318" s="3">
        <v>134.65325000411599</v>
      </c>
      <c r="G318" s="3">
        <v>1244.8963799999999</v>
      </c>
      <c r="H318" s="3">
        <v>1472.3602800041158</v>
      </c>
      <c r="I318" s="3">
        <v>3.0202262153930577</v>
      </c>
    </row>
    <row r="319" spans="1:9" x14ac:dyDescent="0.25">
      <c r="B319">
        <v>5500</v>
      </c>
      <c r="C319">
        <v>53625000</v>
      </c>
      <c r="D319">
        <v>9</v>
      </c>
      <c r="E319" s="3">
        <v>92.810649999999995</v>
      </c>
      <c r="F319" s="3">
        <v>147.37700000411598</v>
      </c>
      <c r="G319" s="3">
        <v>1369.2088799999999</v>
      </c>
      <c r="H319" s="3">
        <v>1609.3965300041159</v>
      </c>
      <c r="I319" s="3">
        <v>3.0012056503573259</v>
      </c>
    </row>
    <row r="320" spans="1:9" x14ac:dyDescent="0.25">
      <c r="B320">
        <v>6000</v>
      </c>
      <c r="C320">
        <v>58500000</v>
      </c>
      <c r="D320">
        <v>9</v>
      </c>
      <c r="E320" s="3">
        <v>92.810649999999995</v>
      </c>
      <c r="F320" s="3">
        <v>160.10075000411601</v>
      </c>
      <c r="G320" s="3">
        <v>1493.5213799999999</v>
      </c>
      <c r="H320" s="3">
        <v>1746.432780004116</v>
      </c>
      <c r="I320" s="3">
        <v>2.9853551794942152</v>
      </c>
    </row>
    <row r="321" spans="1:9" x14ac:dyDescent="0.25">
      <c r="B321">
        <v>6500</v>
      </c>
      <c r="C321">
        <v>63375000</v>
      </c>
      <c r="D321">
        <v>9</v>
      </c>
      <c r="E321" s="3">
        <v>92.810649999999995</v>
      </c>
      <c r="F321" s="3">
        <v>172.824500004116</v>
      </c>
      <c r="G321" s="3">
        <v>1617.8338799999999</v>
      </c>
      <c r="H321" s="3">
        <v>1883.4690300041159</v>
      </c>
      <c r="I321" s="3">
        <v>2.9719432426100449</v>
      </c>
    </row>
    <row r="322" spans="1:9" x14ac:dyDescent="0.25">
      <c r="B322">
        <v>7000</v>
      </c>
      <c r="C322">
        <v>68250000</v>
      </c>
      <c r="D322">
        <v>9</v>
      </c>
      <c r="E322" s="3">
        <v>92.810649999999995</v>
      </c>
      <c r="F322" s="3">
        <v>185.548250004116</v>
      </c>
      <c r="G322" s="3">
        <v>1742.1463799999999</v>
      </c>
      <c r="H322" s="3">
        <v>2020.5052800041158</v>
      </c>
      <c r="I322" s="3">
        <v>2.9604472967093272</v>
      </c>
    </row>
    <row r="323" spans="1:9" x14ac:dyDescent="0.25">
      <c r="B323">
        <v>7500</v>
      </c>
      <c r="C323">
        <v>73125000</v>
      </c>
      <c r="D323">
        <v>9</v>
      </c>
      <c r="E323" s="3">
        <v>92.810649999999995</v>
      </c>
      <c r="F323" s="3">
        <v>198.27200000411599</v>
      </c>
      <c r="G323" s="3">
        <v>1866.4588799999997</v>
      </c>
      <c r="H323" s="3">
        <v>2157.5415300041159</v>
      </c>
      <c r="I323" s="3">
        <v>2.9504841435953719</v>
      </c>
    </row>
    <row r="324" spans="1:9" x14ac:dyDescent="0.25">
      <c r="B324">
        <v>8000</v>
      </c>
      <c r="C324">
        <v>78000000</v>
      </c>
      <c r="D324">
        <v>9</v>
      </c>
      <c r="E324" s="3">
        <v>92.810649999999995</v>
      </c>
      <c r="F324" s="3">
        <v>210.99575000411599</v>
      </c>
      <c r="G324" s="3">
        <v>1990.7713799999997</v>
      </c>
      <c r="H324" s="3">
        <v>2294.5777800041155</v>
      </c>
      <c r="I324" s="3">
        <v>2.941766384620661</v>
      </c>
    </row>
    <row r="325" spans="1:9" x14ac:dyDescent="0.25">
      <c r="B325">
        <v>8500</v>
      </c>
      <c r="C325">
        <v>82875000</v>
      </c>
      <c r="D325">
        <v>9</v>
      </c>
      <c r="E325" s="3">
        <v>92.810649999999995</v>
      </c>
      <c r="F325" s="3">
        <v>223.71950000411599</v>
      </c>
      <c r="G325" s="3">
        <v>2115.0838799999997</v>
      </c>
      <c r="H325" s="3">
        <v>2431.6140300041156</v>
      </c>
      <c r="I325" s="3">
        <v>2.9340742443488574</v>
      </c>
    </row>
    <row r="329" spans="1:9" x14ac:dyDescent="0.25">
      <c r="A329" t="s">
        <v>20</v>
      </c>
      <c r="B329">
        <v>10500</v>
      </c>
    </row>
    <row r="330" spans="1:9" x14ac:dyDescent="0.25">
      <c r="A330" t="s">
        <v>21</v>
      </c>
      <c r="B330">
        <v>8</v>
      </c>
    </row>
    <row r="332" spans="1:9" x14ac:dyDescent="0.25">
      <c r="B332" t="s">
        <v>22</v>
      </c>
      <c r="C332" t="s">
        <v>23</v>
      </c>
      <c r="D332" t="s">
        <v>24</v>
      </c>
      <c r="E332" s="3" t="s">
        <v>25</v>
      </c>
      <c r="F332" s="3" t="s">
        <v>26</v>
      </c>
      <c r="G332" s="3" t="s">
        <v>27</v>
      </c>
      <c r="H332" s="3" t="s">
        <v>28</v>
      </c>
      <c r="I332" s="3" t="s">
        <v>29</v>
      </c>
    </row>
    <row r="333" spans="1:9" x14ac:dyDescent="0.25">
      <c r="B333">
        <v>0</v>
      </c>
      <c r="C333">
        <v>0</v>
      </c>
      <c r="D333">
        <v>1</v>
      </c>
      <c r="E333" s="3">
        <v>98.675574999999995</v>
      </c>
      <c r="F333" s="3">
        <v>4.1160000000000003E-9</v>
      </c>
      <c r="G333" s="3">
        <v>1.7713800000000002</v>
      </c>
      <c r="H333" s="3">
        <v>100.44695500411599</v>
      </c>
    </row>
    <row r="334" spans="1:9" x14ac:dyDescent="0.25">
      <c r="B334">
        <v>500</v>
      </c>
      <c r="C334">
        <v>5250000</v>
      </c>
      <c r="D334">
        <v>4</v>
      </c>
      <c r="E334" s="3">
        <v>98.675574999999995</v>
      </c>
      <c r="F334" s="3">
        <v>18.497250004115998</v>
      </c>
      <c r="G334" s="3">
        <v>135.64637999999999</v>
      </c>
      <c r="H334" s="3">
        <v>252.81920500411599</v>
      </c>
      <c r="I334" s="3">
        <v>4.8156039048403043</v>
      </c>
    </row>
    <row r="335" spans="1:9" x14ac:dyDescent="0.25">
      <c r="B335">
        <v>1000</v>
      </c>
      <c r="C335">
        <v>10500000</v>
      </c>
      <c r="D335">
        <v>7</v>
      </c>
      <c r="E335" s="3">
        <v>98.675574999999995</v>
      </c>
      <c r="F335" s="3">
        <v>34.168750004115999</v>
      </c>
      <c r="G335" s="3">
        <v>269.52138000000002</v>
      </c>
      <c r="H335" s="3">
        <v>402.36570500411602</v>
      </c>
      <c r="I335" s="3">
        <v>3.8320543333725334</v>
      </c>
    </row>
    <row r="336" spans="1:9" x14ac:dyDescent="0.25">
      <c r="B336">
        <v>1500</v>
      </c>
      <c r="C336">
        <v>15750000</v>
      </c>
      <c r="D336">
        <v>8</v>
      </c>
      <c r="E336" s="3">
        <v>98.675574999999995</v>
      </c>
      <c r="F336" s="3">
        <v>48.527500004116</v>
      </c>
      <c r="G336" s="3">
        <v>403.39638000000002</v>
      </c>
      <c r="H336" s="3">
        <v>550.59945500411595</v>
      </c>
      <c r="I336" s="3">
        <v>3.495869555581689</v>
      </c>
    </row>
    <row r="337" spans="2:9" x14ac:dyDescent="0.25">
      <c r="B337">
        <v>2000</v>
      </c>
      <c r="C337">
        <v>21000000</v>
      </c>
      <c r="D337">
        <v>9</v>
      </c>
      <c r="E337" s="3">
        <v>98.675574999999995</v>
      </c>
      <c r="F337" s="3">
        <v>62.225750004116001</v>
      </c>
      <c r="G337" s="3">
        <v>537.27138000000002</v>
      </c>
      <c r="H337" s="3">
        <v>698.17270500411598</v>
      </c>
      <c r="I337" s="3">
        <v>3.3246319285910286</v>
      </c>
    </row>
    <row r="338" spans="2:9" x14ac:dyDescent="0.25">
      <c r="B338">
        <v>2500</v>
      </c>
      <c r="C338">
        <v>26250000</v>
      </c>
      <c r="D338">
        <v>9</v>
      </c>
      <c r="E338" s="3">
        <v>98.675574999999995</v>
      </c>
      <c r="F338" s="3">
        <v>75.928250004115995</v>
      </c>
      <c r="G338" s="3">
        <v>671.14638000000002</v>
      </c>
      <c r="H338" s="3">
        <v>845.75020500411597</v>
      </c>
      <c r="I338" s="3">
        <v>3.2219055428728227</v>
      </c>
    </row>
    <row r="339" spans="2:9" x14ac:dyDescent="0.25">
      <c r="B339">
        <v>3000</v>
      </c>
      <c r="C339">
        <v>31500000</v>
      </c>
      <c r="D339">
        <v>9</v>
      </c>
      <c r="E339" s="3">
        <v>98.675574999999995</v>
      </c>
      <c r="F339" s="3">
        <v>89.630750004115995</v>
      </c>
      <c r="G339" s="3">
        <v>805.02138000000002</v>
      </c>
      <c r="H339" s="3">
        <v>993.32770500411607</v>
      </c>
      <c r="I339" s="3">
        <v>3.1534212857273527</v>
      </c>
    </row>
    <row r="340" spans="2:9" x14ac:dyDescent="0.25">
      <c r="B340">
        <v>3500</v>
      </c>
      <c r="C340">
        <v>36750000</v>
      </c>
      <c r="D340">
        <v>9</v>
      </c>
      <c r="E340" s="3">
        <v>98.675574999999995</v>
      </c>
      <c r="F340" s="3">
        <v>103.333250004116</v>
      </c>
      <c r="G340" s="3">
        <v>938.89637999999991</v>
      </c>
      <c r="H340" s="3">
        <v>1140.9052050041159</v>
      </c>
      <c r="I340" s="3">
        <v>3.1045039591948735</v>
      </c>
    </row>
    <row r="341" spans="2:9" x14ac:dyDescent="0.25">
      <c r="B341">
        <v>4000</v>
      </c>
      <c r="C341">
        <v>42000000</v>
      </c>
      <c r="D341">
        <v>9</v>
      </c>
      <c r="E341" s="3">
        <v>98.675574999999995</v>
      </c>
      <c r="F341" s="3">
        <v>117.035750004116</v>
      </c>
      <c r="G341" s="3">
        <v>1072.7713799999999</v>
      </c>
      <c r="H341" s="3">
        <v>1288.4827050041158</v>
      </c>
      <c r="I341" s="3">
        <v>3.0678159642955141</v>
      </c>
    </row>
    <row r="342" spans="2:9" x14ac:dyDescent="0.25">
      <c r="B342">
        <v>4500</v>
      </c>
      <c r="C342">
        <v>47250000</v>
      </c>
      <c r="D342">
        <v>9</v>
      </c>
      <c r="E342" s="3">
        <v>98.675574999999995</v>
      </c>
      <c r="F342" s="3">
        <v>130.738250004116</v>
      </c>
      <c r="G342" s="3">
        <v>1206.6463799999999</v>
      </c>
      <c r="H342" s="3">
        <v>1436.0602050041159</v>
      </c>
      <c r="I342" s="3">
        <v>3.0392808571515681</v>
      </c>
    </row>
    <row r="343" spans="2:9" x14ac:dyDescent="0.25">
      <c r="B343">
        <v>5000</v>
      </c>
      <c r="C343">
        <v>52500000</v>
      </c>
      <c r="D343">
        <v>9</v>
      </c>
      <c r="E343" s="3">
        <v>98.675574999999995</v>
      </c>
      <c r="F343" s="3">
        <v>144.44075000411601</v>
      </c>
      <c r="G343" s="3">
        <v>1340.5213799999999</v>
      </c>
      <c r="H343" s="3">
        <v>1583.637705004116</v>
      </c>
      <c r="I343" s="3">
        <v>3.0164527714364113</v>
      </c>
    </row>
    <row r="344" spans="2:9" x14ac:dyDescent="0.25">
      <c r="B344">
        <v>5500</v>
      </c>
      <c r="C344">
        <v>57750000</v>
      </c>
      <c r="D344">
        <v>9</v>
      </c>
      <c r="E344" s="3">
        <v>98.675574999999995</v>
      </c>
      <c r="F344" s="3">
        <v>158.143250004116</v>
      </c>
      <c r="G344" s="3">
        <v>1474.3963799999999</v>
      </c>
      <c r="H344" s="3">
        <v>1731.2152050041159</v>
      </c>
      <c r="I344" s="3">
        <v>2.9977752467603738</v>
      </c>
    </row>
    <row r="345" spans="2:9" x14ac:dyDescent="0.25">
      <c r="B345">
        <v>6000</v>
      </c>
      <c r="C345">
        <v>63000000</v>
      </c>
      <c r="D345">
        <v>9</v>
      </c>
      <c r="E345" s="3">
        <v>98.675574999999995</v>
      </c>
      <c r="F345" s="3">
        <v>171.84575000411598</v>
      </c>
      <c r="G345" s="3">
        <v>1608.2713799999999</v>
      </c>
      <c r="H345" s="3">
        <v>1878.7927050041158</v>
      </c>
      <c r="I345" s="3">
        <v>2.9822106428636759</v>
      </c>
    </row>
    <row r="346" spans="2:9" x14ac:dyDescent="0.25">
      <c r="B346">
        <v>6500</v>
      </c>
      <c r="C346">
        <v>68250000</v>
      </c>
      <c r="D346">
        <v>9</v>
      </c>
      <c r="E346" s="3">
        <v>98.675574999999995</v>
      </c>
      <c r="F346" s="3">
        <v>185.548250004116</v>
      </c>
      <c r="G346" s="3">
        <v>1742.1463799999999</v>
      </c>
      <c r="H346" s="3">
        <v>2026.3702050041159</v>
      </c>
      <c r="I346" s="3">
        <v>2.9690405934126241</v>
      </c>
    </row>
    <row r="347" spans="2:9" x14ac:dyDescent="0.25">
      <c r="B347">
        <v>7000</v>
      </c>
      <c r="C347">
        <v>73500000</v>
      </c>
      <c r="D347">
        <v>9</v>
      </c>
      <c r="E347" s="3">
        <v>98.675574999999995</v>
      </c>
      <c r="F347" s="3">
        <v>199.25075000411599</v>
      </c>
      <c r="G347" s="3">
        <v>1876.0213799999997</v>
      </c>
      <c r="H347" s="3">
        <v>2173.9477050041155</v>
      </c>
      <c r="I347" s="3">
        <v>2.9577519795974361</v>
      </c>
    </row>
    <row r="348" spans="2:9" x14ac:dyDescent="0.25">
      <c r="B348">
        <v>7500</v>
      </c>
      <c r="C348">
        <v>78750000</v>
      </c>
      <c r="D348">
        <v>9</v>
      </c>
      <c r="E348" s="3">
        <v>98.675574999999995</v>
      </c>
      <c r="F348" s="3">
        <v>212.953250004116</v>
      </c>
      <c r="G348" s="3">
        <v>2009.8963799999997</v>
      </c>
      <c r="H348" s="3">
        <v>2321.5252050041158</v>
      </c>
      <c r="I348" s="3">
        <v>2.9479685142909409</v>
      </c>
    </row>
    <row r="349" spans="2:9" x14ac:dyDescent="0.25">
      <c r="B349">
        <v>8000</v>
      </c>
      <c r="C349">
        <v>84000000</v>
      </c>
      <c r="D349">
        <v>9</v>
      </c>
      <c r="E349" s="3">
        <v>98.675574999999995</v>
      </c>
      <c r="F349" s="3">
        <v>226.65575000411599</v>
      </c>
      <c r="G349" s="3">
        <v>2143.7713799999997</v>
      </c>
      <c r="H349" s="3">
        <v>2469.1027050041157</v>
      </c>
      <c r="I349" s="3">
        <v>2.9394079821477566</v>
      </c>
    </row>
    <row r="350" spans="2:9" x14ac:dyDescent="0.25">
      <c r="B350">
        <v>8500</v>
      </c>
      <c r="C350">
        <v>89250000</v>
      </c>
      <c r="D350">
        <v>9</v>
      </c>
      <c r="E350" s="3">
        <v>98.675574999999995</v>
      </c>
      <c r="F350" s="3">
        <v>240.358250004116</v>
      </c>
      <c r="G350" s="3">
        <v>2277.6463799999997</v>
      </c>
      <c r="H350" s="3">
        <v>2616.6802050041156</v>
      </c>
      <c r="I350" s="3">
        <v>2.9318545714331825</v>
      </c>
    </row>
    <row r="354" spans="1:9" x14ac:dyDescent="0.25">
      <c r="A354" t="s">
        <v>20</v>
      </c>
      <c r="B354">
        <v>11250</v>
      </c>
    </row>
    <row r="355" spans="1:9" x14ac:dyDescent="0.25">
      <c r="A355" t="s">
        <v>21</v>
      </c>
      <c r="B355">
        <v>8</v>
      </c>
    </row>
    <row r="357" spans="1:9" x14ac:dyDescent="0.25">
      <c r="B357" t="s">
        <v>22</v>
      </c>
      <c r="C357" t="s">
        <v>23</v>
      </c>
      <c r="D357" t="s">
        <v>24</v>
      </c>
      <c r="E357" s="3" t="s">
        <v>25</v>
      </c>
      <c r="F357" s="3" t="s">
        <v>26</v>
      </c>
      <c r="G357" s="3" t="s">
        <v>27</v>
      </c>
      <c r="H357" s="3" t="s">
        <v>28</v>
      </c>
      <c r="I357" s="3" t="s">
        <v>29</v>
      </c>
    </row>
    <row r="358" spans="1:9" x14ac:dyDescent="0.25">
      <c r="B358">
        <v>0</v>
      </c>
      <c r="C358">
        <v>0</v>
      </c>
      <c r="D358">
        <v>1</v>
      </c>
      <c r="E358" s="3">
        <v>104.47884999999999</v>
      </c>
      <c r="F358" s="3">
        <v>4.1160000000000003E-9</v>
      </c>
      <c r="G358" s="3">
        <v>1.7713800000000002</v>
      </c>
      <c r="H358" s="3">
        <v>106.25023000411599</v>
      </c>
    </row>
    <row r="359" spans="1:9" x14ac:dyDescent="0.25">
      <c r="B359">
        <v>500</v>
      </c>
      <c r="C359">
        <v>5625000</v>
      </c>
      <c r="D359">
        <v>4</v>
      </c>
      <c r="E359" s="3">
        <v>104.47884999999999</v>
      </c>
      <c r="F359" s="3">
        <v>19.713000004115997</v>
      </c>
      <c r="G359" s="3">
        <v>145.20887999999999</v>
      </c>
      <c r="H359" s="3">
        <v>269.40073000411599</v>
      </c>
      <c r="I359" s="3">
        <v>4.7893463111842847</v>
      </c>
    </row>
    <row r="360" spans="1:9" x14ac:dyDescent="0.25">
      <c r="B360">
        <v>1000</v>
      </c>
      <c r="C360">
        <v>11250000</v>
      </c>
      <c r="D360">
        <v>7</v>
      </c>
      <c r="E360" s="3">
        <v>104.47884999999999</v>
      </c>
      <c r="F360" s="3">
        <v>36.235750004115999</v>
      </c>
      <c r="G360" s="3">
        <v>288.64638000000002</v>
      </c>
      <c r="H360" s="3">
        <v>429.36098000411602</v>
      </c>
      <c r="I360" s="3">
        <v>3.8165420444810314</v>
      </c>
    </row>
    <row r="361" spans="1:9" x14ac:dyDescent="0.25">
      <c r="B361">
        <v>1500</v>
      </c>
      <c r="C361">
        <v>16875000</v>
      </c>
      <c r="D361">
        <v>8</v>
      </c>
      <c r="E361" s="3">
        <v>104.47884999999999</v>
      </c>
      <c r="F361" s="3">
        <v>51.462625004115999</v>
      </c>
      <c r="G361" s="3">
        <v>432.08388000000002</v>
      </c>
      <c r="H361" s="3">
        <v>588.02535500411602</v>
      </c>
      <c r="I361" s="3">
        <v>3.4845946963206873</v>
      </c>
    </row>
    <row r="362" spans="1:9" x14ac:dyDescent="0.25">
      <c r="B362">
        <v>2000</v>
      </c>
      <c r="C362">
        <v>22500000</v>
      </c>
      <c r="D362">
        <v>9</v>
      </c>
      <c r="E362" s="3">
        <v>104.47884999999999</v>
      </c>
      <c r="F362" s="3">
        <v>66.140750004116001</v>
      </c>
      <c r="G362" s="3">
        <v>575.52138000000002</v>
      </c>
      <c r="H362" s="3">
        <v>746.14098000411605</v>
      </c>
      <c r="I362" s="3">
        <v>3.316182133351627</v>
      </c>
    </row>
    <row r="363" spans="1:9" x14ac:dyDescent="0.25">
      <c r="B363">
        <v>2500</v>
      </c>
      <c r="C363">
        <v>28125000</v>
      </c>
      <c r="D363">
        <v>9</v>
      </c>
      <c r="E363" s="3">
        <v>104.47884999999999</v>
      </c>
      <c r="F363" s="3">
        <v>80.822000004115992</v>
      </c>
      <c r="G363" s="3">
        <v>718.95888000000002</v>
      </c>
      <c r="H363" s="3">
        <v>904.25973000411602</v>
      </c>
      <c r="I363" s="3">
        <v>3.2151457066813012</v>
      </c>
    </row>
    <row r="364" spans="1:9" x14ac:dyDescent="0.25">
      <c r="B364">
        <v>3000</v>
      </c>
      <c r="C364">
        <v>33750000</v>
      </c>
      <c r="D364">
        <v>9</v>
      </c>
      <c r="E364" s="3">
        <v>104.47884999999999</v>
      </c>
      <c r="F364" s="3">
        <v>95.503250004115998</v>
      </c>
      <c r="G364" s="3">
        <v>862.39638000000002</v>
      </c>
      <c r="H364" s="3">
        <v>1062.378480004116</v>
      </c>
      <c r="I364" s="3">
        <v>3.1477880889010845</v>
      </c>
    </row>
    <row r="365" spans="1:9" x14ac:dyDescent="0.25">
      <c r="B365">
        <v>3500</v>
      </c>
      <c r="C365">
        <v>39375000</v>
      </c>
      <c r="D365">
        <v>9</v>
      </c>
      <c r="E365" s="3">
        <v>104.47884999999999</v>
      </c>
      <c r="F365" s="3">
        <v>110.184500004116</v>
      </c>
      <c r="G365" s="3">
        <v>1005.8338799999999</v>
      </c>
      <c r="H365" s="3">
        <v>1220.4972300041159</v>
      </c>
      <c r="I365" s="3">
        <v>3.0996755047723576</v>
      </c>
    </row>
    <row r="366" spans="1:9" x14ac:dyDescent="0.25">
      <c r="B366">
        <v>4000</v>
      </c>
      <c r="C366">
        <v>45000000</v>
      </c>
      <c r="D366">
        <v>9</v>
      </c>
      <c r="E366" s="3">
        <v>104.47884999999999</v>
      </c>
      <c r="F366" s="3">
        <v>124.86575000411599</v>
      </c>
      <c r="G366" s="3">
        <v>1149.2713799999999</v>
      </c>
      <c r="H366" s="3">
        <v>1378.615980004116</v>
      </c>
      <c r="I366" s="3">
        <v>3.0635910666758135</v>
      </c>
    </row>
    <row r="367" spans="1:9" x14ac:dyDescent="0.25">
      <c r="B367">
        <v>4500</v>
      </c>
      <c r="C367">
        <v>50625000</v>
      </c>
      <c r="D367">
        <v>9</v>
      </c>
      <c r="E367" s="3">
        <v>104.47884999999999</v>
      </c>
      <c r="F367" s="3">
        <v>139.547000004116</v>
      </c>
      <c r="G367" s="3">
        <v>1292.7088799999999</v>
      </c>
      <c r="H367" s="3">
        <v>1536.7347300041158</v>
      </c>
      <c r="I367" s="3">
        <v>3.0355253926007224</v>
      </c>
    </row>
    <row r="368" spans="1:9" x14ac:dyDescent="0.25">
      <c r="B368">
        <v>5000</v>
      </c>
      <c r="C368">
        <v>56250000</v>
      </c>
      <c r="D368">
        <v>9</v>
      </c>
      <c r="E368" s="3">
        <v>104.47884999999999</v>
      </c>
      <c r="F368" s="3">
        <v>154.22825000411601</v>
      </c>
      <c r="G368" s="3">
        <v>1436.1463799999999</v>
      </c>
      <c r="H368" s="3">
        <v>1694.8534800041159</v>
      </c>
      <c r="I368" s="3">
        <v>3.0130728533406508</v>
      </c>
    </row>
    <row r="369" spans="1:9" x14ac:dyDescent="0.25">
      <c r="B369">
        <v>5500</v>
      </c>
      <c r="C369">
        <v>61875000</v>
      </c>
      <c r="D369">
        <v>9</v>
      </c>
      <c r="E369" s="3">
        <v>104.47884999999999</v>
      </c>
      <c r="F369" s="3">
        <v>168.90950000411601</v>
      </c>
      <c r="G369" s="3">
        <v>1579.5838799999999</v>
      </c>
      <c r="H369" s="3">
        <v>1852.9722300041158</v>
      </c>
      <c r="I369" s="3">
        <v>2.9947025939460454</v>
      </c>
    </row>
    <row r="370" spans="1:9" x14ac:dyDescent="0.25">
      <c r="B370">
        <v>6000</v>
      </c>
      <c r="C370">
        <v>67500000</v>
      </c>
      <c r="D370">
        <v>9</v>
      </c>
      <c r="E370" s="3">
        <v>104.47884999999999</v>
      </c>
      <c r="F370" s="3">
        <v>183.59075000411599</v>
      </c>
      <c r="G370" s="3">
        <v>1723.0213799999999</v>
      </c>
      <c r="H370" s="3">
        <v>2011.0909800041159</v>
      </c>
      <c r="I370" s="3">
        <v>2.979394044450542</v>
      </c>
    </row>
    <row r="371" spans="1:9" x14ac:dyDescent="0.25">
      <c r="B371">
        <v>6500</v>
      </c>
      <c r="C371">
        <v>73125000</v>
      </c>
      <c r="D371">
        <v>9</v>
      </c>
      <c r="E371" s="3">
        <v>104.47884999999999</v>
      </c>
      <c r="F371" s="3">
        <v>198.27200000411599</v>
      </c>
      <c r="G371" s="3">
        <v>1866.4588799999997</v>
      </c>
      <c r="H371" s="3">
        <v>2169.2097300041155</v>
      </c>
      <c r="I371" s="3">
        <v>2.9664406564158843</v>
      </c>
    </row>
    <row r="372" spans="1:9" x14ac:dyDescent="0.25">
      <c r="B372">
        <v>7000</v>
      </c>
      <c r="C372">
        <v>78750000</v>
      </c>
      <c r="D372">
        <v>9</v>
      </c>
      <c r="E372" s="3">
        <v>104.47884999999999</v>
      </c>
      <c r="F372" s="3">
        <v>212.953250004116</v>
      </c>
      <c r="G372" s="3">
        <v>2009.8963799999997</v>
      </c>
      <c r="H372" s="3">
        <v>2327.3284800041156</v>
      </c>
      <c r="I372" s="3">
        <v>2.9553377523861784</v>
      </c>
    </row>
    <row r="373" spans="1:9" x14ac:dyDescent="0.25">
      <c r="B373">
        <v>7500</v>
      </c>
      <c r="C373">
        <v>84375000</v>
      </c>
      <c r="D373">
        <v>9</v>
      </c>
      <c r="E373" s="3">
        <v>104.47884999999999</v>
      </c>
      <c r="F373" s="3">
        <v>227.63450000411601</v>
      </c>
      <c r="G373" s="3">
        <v>2153.3338799999997</v>
      </c>
      <c r="H373" s="3">
        <v>2485.4472300041157</v>
      </c>
      <c r="I373" s="3">
        <v>2.9457152355604337</v>
      </c>
    </row>
    <row r="374" spans="1:9" x14ac:dyDescent="0.25">
      <c r="B374">
        <v>8000</v>
      </c>
      <c r="C374">
        <v>90000000</v>
      </c>
      <c r="D374">
        <v>9</v>
      </c>
      <c r="E374" s="3">
        <v>104.47884999999999</v>
      </c>
      <c r="F374" s="3">
        <v>242.31575000411601</v>
      </c>
      <c r="G374" s="3">
        <v>2296.7713799999997</v>
      </c>
      <c r="H374" s="3">
        <v>2643.5659800041158</v>
      </c>
      <c r="I374" s="3">
        <v>2.9372955333379065</v>
      </c>
    </row>
    <row r="375" spans="1:9" x14ac:dyDescent="0.25">
      <c r="B375">
        <v>8500</v>
      </c>
      <c r="C375">
        <v>95625000</v>
      </c>
      <c r="D375">
        <v>9</v>
      </c>
      <c r="E375" s="3">
        <v>104.47884999999999</v>
      </c>
      <c r="F375" s="3">
        <v>256.99700000411599</v>
      </c>
      <c r="G375" s="3">
        <v>2440.2088799999997</v>
      </c>
      <c r="H375" s="3">
        <v>2801.6847300041154</v>
      </c>
      <c r="I375" s="3">
        <v>2.929866384318029</v>
      </c>
    </row>
    <row r="379" spans="1:9" x14ac:dyDescent="0.25">
      <c r="A379" t="s">
        <v>20</v>
      </c>
      <c r="B379">
        <v>12000</v>
      </c>
    </row>
    <row r="380" spans="1:9" x14ac:dyDescent="0.25">
      <c r="A380" t="s">
        <v>21</v>
      </c>
      <c r="B380">
        <v>8</v>
      </c>
    </row>
    <row r="382" spans="1:9" x14ac:dyDescent="0.25">
      <c r="B382" t="s">
        <v>22</v>
      </c>
      <c r="C382" t="s">
        <v>23</v>
      </c>
      <c r="D382" t="s">
        <v>24</v>
      </c>
      <c r="E382" s="3" t="s">
        <v>25</v>
      </c>
      <c r="F382" s="3" t="s">
        <v>26</v>
      </c>
      <c r="G382" s="3" t="s">
        <v>27</v>
      </c>
      <c r="H382" s="3" t="s">
        <v>28</v>
      </c>
      <c r="I382" s="3" t="s">
        <v>29</v>
      </c>
    </row>
    <row r="383" spans="1:9" x14ac:dyDescent="0.25">
      <c r="B383">
        <v>0</v>
      </c>
      <c r="C383">
        <v>0</v>
      </c>
      <c r="D383">
        <v>1</v>
      </c>
      <c r="E383" s="3">
        <v>110.28212499999998</v>
      </c>
      <c r="F383" s="3">
        <v>4.1160000000000003E-9</v>
      </c>
      <c r="G383" s="3">
        <v>1.7713800000000002</v>
      </c>
      <c r="H383" s="3">
        <v>112.05350500411598</v>
      </c>
    </row>
    <row r="384" spans="1:9" x14ac:dyDescent="0.25">
      <c r="B384">
        <v>500</v>
      </c>
      <c r="C384">
        <v>6000000</v>
      </c>
      <c r="D384">
        <v>4</v>
      </c>
      <c r="E384" s="3">
        <v>110.28212499999998</v>
      </c>
      <c r="F384" s="3">
        <v>20.928750004115997</v>
      </c>
      <c r="G384" s="3">
        <v>154.77137999999999</v>
      </c>
      <c r="H384" s="3">
        <v>285.98225500411593</v>
      </c>
      <c r="I384" s="3">
        <v>4.7663709167352657</v>
      </c>
    </row>
    <row r="385" spans="2:9" x14ac:dyDescent="0.25">
      <c r="B385">
        <v>1000</v>
      </c>
      <c r="C385">
        <v>12000000</v>
      </c>
      <c r="D385">
        <v>7</v>
      </c>
      <c r="E385" s="3">
        <v>110.28212499999998</v>
      </c>
      <c r="F385" s="3">
        <v>38.302750004116</v>
      </c>
      <c r="G385" s="3">
        <v>307.77138000000002</v>
      </c>
      <c r="H385" s="3">
        <v>456.35625500411601</v>
      </c>
      <c r="I385" s="3">
        <v>3.8029687917009669</v>
      </c>
    </row>
    <row r="386" spans="2:9" x14ac:dyDescent="0.25">
      <c r="B386">
        <v>1500</v>
      </c>
      <c r="C386">
        <v>18000000</v>
      </c>
      <c r="D386">
        <v>8</v>
      </c>
      <c r="E386" s="3">
        <v>110.28212499999998</v>
      </c>
      <c r="F386" s="3">
        <v>54.397750004115998</v>
      </c>
      <c r="G386" s="3">
        <v>460.77137999999997</v>
      </c>
      <c r="H386" s="3">
        <v>625.45125500411598</v>
      </c>
      <c r="I386" s="3">
        <v>3.4747291944673111</v>
      </c>
    </row>
    <row r="387" spans="2:9" x14ac:dyDescent="0.25">
      <c r="B387">
        <v>2000</v>
      </c>
      <c r="C387">
        <v>24000000</v>
      </c>
      <c r="D387">
        <v>9</v>
      </c>
      <c r="E387" s="3">
        <v>110.28212499999998</v>
      </c>
      <c r="F387" s="3">
        <v>70.055750004115993</v>
      </c>
      <c r="G387" s="3">
        <v>613.77138000000002</v>
      </c>
      <c r="H387" s="3">
        <v>794.10925500411599</v>
      </c>
      <c r="I387" s="3">
        <v>3.30878856251715</v>
      </c>
    </row>
    <row r="388" spans="2:9" x14ac:dyDescent="0.25">
      <c r="B388">
        <v>2500</v>
      </c>
      <c r="C388">
        <v>30000000</v>
      </c>
      <c r="D388">
        <v>9</v>
      </c>
      <c r="E388" s="3">
        <v>110.28212499999998</v>
      </c>
      <c r="F388" s="3">
        <v>85.715750004116003</v>
      </c>
      <c r="G388" s="3">
        <v>766.77138000000002</v>
      </c>
      <c r="H388" s="3">
        <v>962.76925500411608</v>
      </c>
      <c r="I388" s="3">
        <v>3.2092308500137205</v>
      </c>
    </row>
    <row r="389" spans="2:9" x14ac:dyDescent="0.25">
      <c r="B389">
        <v>3000</v>
      </c>
      <c r="C389">
        <v>36000000</v>
      </c>
      <c r="D389">
        <v>9</v>
      </c>
      <c r="E389" s="3">
        <v>110.28212499999998</v>
      </c>
      <c r="F389" s="3">
        <v>101.375750004116</v>
      </c>
      <c r="G389" s="3">
        <v>919.77137999999991</v>
      </c>
      <c r="H389" s="3">
        <v>1131.4292550041159</v>
      </c>
      <c r="I389" s="3">
        <v>3.1428590416780997</v>
      </c>
    </row>
    <row r="390" spans="2:9" x14ac:dyDescent="0.25">
      <c r="B390">
        <v>3500</v>
      </c>
      <c r="C390">
        <v>42000000</v>
      </c>
      <c r="D390">
        <v>9</v>
      </c>
      <c r="E390" s="3">
        <v>110.28212499999998</v>
      </c>
      <c r="F390" s="3">
        <v>117.035750004116</v>
      </c>
      <c r="G390" s="3">
        <v>1072.7713799999999</v>
      </c>
      <c r="H390" s="3">
        <v>1300.0892550041158</v>
      </c>
      <c r="I390" s="3">
        <v>3.0954506071526566</v>
      </c>
    </row>
    <row r="391" spans="2:9" x14ac:dyDescent="0.25">
      <c r="B391">
        <v>4000</v>
      </c>
      <c r="C391">
        <v>48000000</v>
      </c>
      <c r="D391">
        <v>9</v>
      </c>
      <c r="E391" s="3">
        <v>110.28212499999998</v>
      </c>
      <c r="F391" s="3">
        <v>132.69575000411601</v>
      </c>
      <c r="G391" s="3">
        <v>1225.7713799999999</v>
      </c>
      <c r="H391" s="3">
        <v>1468.7492550041159</v>
      </c>
      <c r="I391" s="3">
        <v>3.059894281258575</v>
      </c>
    </row>
    <row r="392" spans="2:9" x14ac:dyDescent="0.25">
      <c r="B392">
        <v>4500</v>
      </c>
      <c r="C392">
        <v>54000000</v>
      </c>
      <c r="D392">
        <v>9</v>
      </c>
      <c r="E392" s="3">
        <v>110.28212499999998</v>
      </c>
      <c r="F392" s="3">
        <v>148.355750004116</v>
      </c>
      <c r="G392" s="3">
        <v>1378.7713799999999</v>
      </c>
      <c r="H392" s="3">
        <v>1637.4092550041159</v>
      </c>
      <c r="I392" s="3">
        <v>3.0322393611187333</v>
      </c>
    </row>
    <row r="393" spans="2:9" x14ac:dyDescent="0.25">
      <c r="B393">
        <v>5000</v>
      </c>
      <c r="C393">
        <v>60000000</v>
      </c>
      <c r="D393">
        <v>9</v>
      </c>
      <c r="E393" s="3">
        <v>110.28212499999998</v>
      </c>
      <c r="F393" s="3">
        <v>164.015750004116</v>
      </c>
      <c r="G393" s="3">
        <v>1531.7713799999999</v>
      </c>
      <c r="H393" s="3">
        <v>1806.0692550041158</v>
      </c>
      <c r="I393" s="3">
        <v>3.0101154250068598</v>
      </c>
    </row>
    <row r="394" spans="2:9" x14ac:dyDescent="0.25">
      <c r="B394">
        <v>5500</v>
      </c>
      <c r="C394">
        <v>66000000</v>
      </c>
      <c r="D394">
        <v>9</v>
      </c>
      <c r="E394" s="3">
        <v>110.28212499999998</v>
      </c>
      <c r="F394" s="3">
        <v>179.675750004116</v>
      </c>
      <c r="G394" s="3">
        <v>1684.7713799999999</v>
      </c>
      <c r="H394" s="3">
        <v>1974.7292550041159</v>
      </c>
      <c r="I394" s="3">
        <v>2.992014022733509</v>
      </c>
    </row>
    <row r="395" spans="2:9" x14ac:dyDescent="0.25">
      <c r="B395">
        <v>6000</v>
      </c>
      <c r="C395">
        <v>72000000</v>
      </c>
      <c r="D395">
        <v>9</v>
      </c>
      <c r="E395" s="3">
        <v>110.28212499999998</v>
      </c>
      <c r="F395" s="3">
        <v>195.33575000411599</v>
      </c>
      <c r="G395" s="3">
        <v>1837.7713799999997</v>
      </c>
      <c r="H395" s="3">
        <v>2143.3892550041155</v>
      </c>
      <c r="I395" s="3">
        <v>2.9769295208390494</v>
      </c>
    </row>
    <row r="396" spans="2:9" x14ac:dyDescent="0.25">
      <c r="B396">
        <v>6500</v>
      </c>
      <c r="C396">
        <v>78000000</v>
      </c>
      <c r="D396">
        <v>9</v>
      </c>
      <c r="E396" s="3">
        <v>110.28212499999998</v>
      </c>
      <c r="F396" s="3">
        <v>210.99575000411599</v>
      </c>
      <c r="G396" s="3">
        <v>1990.7713799999997</v>
      </c>
      <c r="H396" s="3">
        <v>2312.0492550041158</v>
      </c>
      <c r="I396" s="3">
        <v>2.9641657115437385</v>
      </c>
    </row>
    <row r="397" spans="2:9" x14ac:dyDescent="0.25">
      <c r="B397">
        <v>7000</v>
      </c>
      <c r="C397">
        <v>84000000</v>
      </c>
      <c r="D397">
        <v>9</v>
      </c>
      <c r="E397" s="3">
        <v>110.28212499999998</v>
      </c>
      <c r="F397" s="3">
        <v>226.65575000411599</v>
      </c>
      <c r="G397" s="3">
        <v>2143.7713799999997</v>
      </c>
      <c r="H397" s="3">
        <v>2480.7092550041157</v>
      </c>
      <c r="I397" s="3">
        <v>2.9532253035763283</v>
      </c>
    </row>
    <row r="398" spans="2:9" x14ac:dyDescent="0.25">
      <c r="B398">
        <v>7500</v>
      </c>
      <c r="C398">
        <v>90000000</v>
      </c>
      <c r="D398">
        <v>9</v>
      </c>
      <c r="E398" s="3">
        <v>110.28212499999998</v>
      </c>
      <c r="F398" s="3">
        <v>242.31575000411601</v>
      </c>
      <c r="G398" s="3">
        <v>2296.7713799999997</v>
      </c>
      <c r="H398" s="3">
        <v>2649.3692550041155</v>
      </c>
      <c r="I398" s="3">
        <v>2.9437436166712394</v>
      </c>
    </row>
    <row r="399" spans="2:9" x14ac:dyDescent="0.25">
      <c r="B399">
        <v>8000</v>
      </c>
      <c r="C399">
        <v>96000000</v>
      </c>
      <c r="D399">
        <v>9</v>
      </c>
      <c r="E399" s="3">
        <v>110.28212499999998</v>
      </c>
      <c r="F399" s="3">
        <v>257.97575000411598</v>
      </c>
      <c r="G399" s="3">
        <v>2449.7713799999997</v>
      </c>
      <c r="H399" s="3">
        <v>2818.0292550041158</v>
      </c>
      <c r="I399" s="3">
        <v>2.9354471406292872</v>
      </c>
    </row>
    <row r="400" spans="2:9" x14ac:dyDescent="0.25">
      <c r="B400">
        <v>8500</v>
      </c>
      <c r="C400">
        <v>102000000</v>
      </c>
      <c r="D400">
        <v>9</v>
      </c>
      <c r="E400" s="3">
        <v>110.28212499999998</v>
      </c>
      <c r="F400" s="3">
        <v>273.63575000411601</v>
      </c>
      <c r="G400" s="3">
        <v>2602.7713799999997</v>
      </c>
      <c r="H400" s="3">
        <v>2986.6892550041157</v>
      </c>
      <c r="I400" s="3">
        <v>2.9281267205922701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1"/>
  <dimension ref="A4:E53"/>
  <sheetViews>
    <sheetView topLeftCell="A29" workbookViewId="0">
      <selection activeCell="D48" sqref="D48"/>
    </sheetView>
  </sheetViews>
  <sheetFormatPr baseColWidth="10" defaultColWidth="9.140625" defaultRowHeight="15" x14ac:dyDescent="0.25"/>
  <cols>
    <col min="1" max="1" width="36.42578125" bestFit="1" customWidth="1"/>
    <col min="2" max="2" width="16.85546875" customWidth="1"/>
    <col min="3" max="3" width="20.85546875" bestFit="1" customWidth="1"/>
    <col min="4" max="4" width="13.42578125" customWidth="1"/>
  </cols>
  <sheetData>
    <row r="4" spans="1:4" x14ac:dyDescent="0.25">
      <c r="A4" t="s">
        <v>0</v>
      </c>
    </row>
    <row r="6" spans="1:4" x14ac:dyDescent="0.25">
      <c r="A6" t="s">
        <v>3</v>
      </c>
      <c r="B6" t="s">
        <v>1</v>
      </c>
      <c r="C6" t="s">
        <v>4</v>
      </c>
      <c r="D6" t="s">
        <v>2</v>
      </c>
    </row>
    <row r="7" spans="1:4" x14ac:dyDescent="0.25">
      <c r="A7">
        <v>1</v>
      </c>
      <c r="B7">
        <v>-1E-3</v>
      </c>
      <c r="C7">
        <v>500000</v>
      </c>
      <c r="D7">
        <v>0.41160000000000002</v>
      </c>
    </row>
    <row r="8" spans="1:4" x14ac:dyDescent="0.25">
      <c r="A8">
        <v>2</v>
      </c>
      <c r="B8">
        <v>500000</v>
      </c>
      <c r="C8">
        <v>1250000</v>
      </c>
      <c r="D8">
        <v>0.38629999999999998</v>
      </c>
    </row>
    <row r="9" spans="1:4" x14ac:dyDescent="0.25">
      <c r="A9">
        <v>3</v>
      </c>
      <c r="B9">
        <v>1250000</v>
      </c>
      <c r="C9">
        <v>3000000</v>
      </c>
      <c r="D9">
        <v>0.35699999999999998</v>
      </c>
    </row>
    <row r="10" spans="1:4" x14ac:dyDescent="0.25">
      <c r="A10">
        <v>4</v>
      </c>
      <c r="B10">
        <v>3000000</v>
      </c>
      <c r="C10">
        <v>6000000</v>
      </c>
      <c r="D10">
        <v>0.32419999999999999</v>
      </c>
    </row>
    <row r="11" spans="1:4" x14ac:dyDescent="0.25">
      <c r="A11">
        <v>5</v>
      </c>
      <c r="B11">
        <v>6000000</v>
      </c>
      <c r="C11">
        <v>7000000</v>
      </c>
      <c r="D11">
        <v>0.30599999999999999</v>
      </c>
    </row>
    <row r="12" spans="1:4" x14ac:dyDescent="0.25">
      <c r="A12">
        <v>6</v>
      </c>
      <c r="B12">
        <v>7000000</v>
      </c>
      <c r="C12">
        <v>10000000</v>
      </c>
      <c r="D12">
        <v>0.29339999999999999</v>
      </c>
    </row>
    <row r="13" spans="1:4" x14ac:dyDescent="0.25">
      <c r="A13">
        <v>7</v>
      </c>
      <c r="B13">
        <v>10000000</v>
      </c>
      <c r="C13">
        <v>15000000</v>
      </c>
      <c r="D13">
        <v>0.27560000000000001</v>
      </c>
    </row>
    <row r="14" spans="1:4" x14ac:dyDescent="0.25">
      <c r="A14">
        <v>8</v>
      </c>
      <c r="B14">
        <v>15000000</v>
      </c>
      <c r="C14">
        <v>20000000</v>
      </c>
      <c r="D14">
        <v>0.26090000000000002</v>
      </c>
    </row>
    <row r="15" spans="1:4" x14ac:dyDescent="0.25">
      <c r="A15">
        <v>9</v>
      </c>
      <c r="B15">
        <v>20000000</v>
      </c>
      <c r="C15" s="1">
        <v>1.0000000000000001E+300</v>
      </c>
      <c r="D15">
        <v>0.26100000000000001</v>
      </c>
    </row>
    <row r="18" spans="1:4" x14ac:dyDescent="0.25">
      <c r="A18" t="s">
        <v>5</v>
      </c>
    </row>
    <row r="20" spans="1:4" x14ac:dyDescent="0.25">
      <c r="A20" t="s">
        <v>3</v>
      </c>
      <c r="B20" t="s">
        <v>6</v>
      </c>
      <c r="C20" t="s">
        <v>7</v>
      </c>
      <c r="D20" t="s">
        <v>8</v>
      </c>
    </row>
    <row r="21" spans="1:4" x14ac:dyDescent="0.25">
      <c r="A21">
        <v>1</v>
      </c>
      <c r="B21">
        <v>0</v>
      </c>
      <c r="C21">
        <v>500</v>
      </c>
      <c r="D21">
        <v>13.889099999999999</v>
      </c>
    </row>
    <row r="22" spans="1:4" x14ac:dyDescent="0.25">
      <c r="A22">
        <v>2</v>
      </c>
      <c r="B22">
        <v>500</v>
      </c>
      <c r="C22">
        <v>750</v>
      </c>
      <c r="D22">
        <v>12.8695</v>
      </c>
    </row>
    <row r="23" spans="1:4" x14ac:dyDescent="0.25">
      <c r="A23">
        <v>3</v>
      </c>
      <c r="B23">
        <v>750</v>
      </c>
      <c r="C23">
        <v>1500</v>
      </c>
      <c r="D23">
        <v>11.9284</v>
      </c>
    </row>
    <row r="24" spans="1:4" x14ac:dyDescent="0.25">
      <c r="A24">
        <v>4</v>
      </c>
      <c r="B24">
        <v>1500</v>
      </c>
      <c r="C24">
        <v>3000</v>
      </c>
      <c r="D24">
        <v>10.5459</v>
      </c>
    </row>
    <row r="25" spans="1:4" x14ac:dyDescent="0.25">
      <c r="A25">
        <v>5</v>
      </c>
      <c r="B25">
        <v>3000</v>
      </c>
      <c r="C25">
        <v>6000</v>
      </c>
      <c r="D25">
        <v>9.1242000000000001</v>
      </c>
    </row>
    <row r="26" spans="1:4" x14ac:dyDescent="0.25">
      <c r="A26">
        <v>6</v>
      </c>
      <c r="B26">
        <v>6000</v>
      </c>
      <c r="C26">
        <v>7500</v>
      </c>
      <c r="D26">
        <v>8.3642000000000003</v>
      </c>
    </row>
    <row r="27" spans="1:4" x14ac:dyDescent="0.25">
      <c r="A27">
        <v>7</v>
      </c>
      <c r="B27">
        <v>7500</v>
      </c>
      <c r="C27">
        <v>10000</v>
      </c>
      <c r="D27">
        <v>7.9843000000000002</v>
      </c>
    </row>
    <row r="28" spans="1:4" x14ac:dyDescent="0.25">
      <c r="A28">
        <v>8</v>
      </c>
      <c r="B28">
        <v>10000</v>
      </c>
      <c r="C28" s="2">
        <v>1.0000000000000001E+300</v>
      </c>
      <c r="D28">
        <v>7.7377000000000002</v>
      </c>
    </row>
    <row r="31" spans="1:4" x14ac:dyDescent="0.25">
      <c r="A31" t="s">
        <v>9</v>
      </c>
    </row>
    <row r="33" spans="1:4" x14ac:dyDescent="0.25">
      <c r="A33" t="s">
        <v>11</v>
      </c>
      <c r="B33" t="s">
        <v>10</v>
      </c>
    </row>
    <row r="34" spans="1:4" x14ac:dyDescent="0.25">
      <c r="A34">
        <v>88.2</v>
      </c>
      <c r="B34">
        <v>14.6</v>
      </c>
    </row>
    <row r="35" spans="1:4" x14ac:dyDescent="0.25">
      <c r="A35">
        <v>245</v>
      </c>
      <c r="B35">
        <v>32.85</v>
      </c>
    </row>
    <row r="36" spans="1:4" x14ac:dyDescent="0.25">
      <c r="A36">
        <v>980</v>
      </c>
      <c r="B36">
        <v>146</v>
      </c>
    </row>
    <row r="37" spans="1:4" x14ac:dyDescent="0.25">
      <c r="A37">
        <v>2450</v>
      </c>
      <c r="B37">
        <v>292</v>
      </c>
    </row>
    <row r="38" spans="1:4" x14ac:dyDescent="0.25">
      <c r="A38">
        <v>3920</v>
      </c>
      <c r="B38">
        <v>490</v>
      </c>
    </row>
    <row r="39" spans="1:4" x14ac:dyDescent="0.25">
      <c r="A39" s="2">
        <v>1.0000000000000001E+300</v>
      </c>
      <c r="B39">
        <v>610</v>
      </c>
    </row>
    <row r="43" spans="1:4" x14ac:dyDescent="0.25">
      <c r="A43" t="s">
        <v>12</v>
      </c>
      <c r="B43">
        <v>1161.3800000000001</v>
      </c>
    </row>
    <row r="47" spans="1:4" x14ac:dyDescent="0.25">
      <c r="A47" t="s">
        <v>13</v>
      </c>
      <c r="B47">
        <v>2</v>
      </c>
      <c r="D47" t="s">
        <v>37</v>
      </c>
    </row>
    <row r="49" spans="1:5" x14ac:dyDescent="0.25">
      <c r="A49" t="s">
        <v>14</v>
      </c>
      <c r="B49">
        <v>0.55000000000000004</v>
      </c>
      <c r="D49" t="s">
        <v>19</v>
      </c>
    </row>
    <row r="52" spans="1:5" x14ac:dyDescent="0.25">
      <c r="A52" t="s">
        <v>15</v>
      </c>
      <c r="B52" t="s">
        <v>16</v>
      </c>
      <c r="C52" t="s">
        <v>17</v>
      </c>
      <c r="E52" t="s">
        <v>18</v>
      </c>
    </row>
    <row r="53" spans="1:5" x14ac:dyDescent="0.25">
      <c r="B53">
        <v>0.03</v>
      </c>
      <c r="C5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3"/>
  <dimension ref="B3:I30"/>
  <sheetViews>
    <sheetView workbookViewId="0">
      <selection activeCell="E4" sqref="E4"/>
    </sheetView>
  </sheetViews>
  <sheetFormatPr baseColWidth="10" defaultRowHeight="15" x14ac:dyDescent="0.25"/>
  <cols>
    <col min="2" max="2" width="15" bestFit="1" customWidth="1"/>
  </cols>
  <sheetData>
    <row r="3" spans="2:9" x14ac:dyDescent="0.25">
      <c r="B3">
        <v>3000000</v>
      </c>
      <c r="E3">
        <v>7000000</v>
      </c>
      <c r="H3">
        <v>12000000</v>
      </c>
    </row>
    <row r="5" spans="2:9" x14ac:dyDescent="0.25">
      <c r="B5" t="s">
        <v>35</v>
      </c>
      <c r="C5" t="s">
        <v>36</v>
      </c>
      <c r="E5" t="s">
        <v>35</v>
      </c>
      <c r="F5" t="s">
        <v>36</v>
      </c>
      <c r="H5" t="s">
        <v>35</v>
      </c>
      <c r="I5" t="s">
        <v>36</v>
      </c>
    </row>
    <row r="6" spans="2:9" x14ac:dyDescent="0.25">
      <c r="B6">
        <v>1</v>
      </c>
      <c r="C6">
        <f>(Tabelle!$M$2/1000/'konstante Mengen'!B6+Tabelle!$M$3/100000)*'konstante Mengen'!$B$3</f>
        <v>36531.706167682474</v>
      </c>
      <c r="E6">
        <v>1</v>
      </c>
      <c r="F6">
        <f>(Tabelle!$M$2/1000/'konstante Mengen'!E6+Tabelle!$M$3/100000)*'konstante Mengen'!$E$3</f>
        <v>85240.647724592447</v>
      </c>
      <c r="H6">
        <v>1</v>
      </c>
      <c r="I6">
        <f>(Tabelle!$M$2/1000/'konstante Mengen'!H6+Tabelle!$M$3/100000)*'konstante Mengen'!H$3</f>
        <v>146126.8246707299</v>
      </c>
    </row>
    <row r="7" spans="2:9" x14ac:dyDescent="0.25">
      <c r="B7">
        <v>25</v>
      </c>
      <c r="C7">
        <f>(Tabelle!$M$2/1000/'konstante Mengen'!B7+Tabelle!$M$3/100000)*'konstante Mengen'!$B$3</f>
        <v>1542.5912821174411</v>
      </c>
      <c r="E7">
        <v>25</v>
      </c>
      <c r="F7">
        <f>(Tabelle!$M$2/1000/'konstante Mengen'!E7+Tabelle!$M$3/100000)*'konstante Mengen'!$E$3</f>
        <v>3599.3796582740292</v>
      </c>
      <c r="H7">
        <v>25</v>
      </c>
      <c r="I7">
        <f>(Tabelle!$M$2/1000/'konstante Mengen'!H7+Tabelle!$M$3/100000)*'konstante Mengen'!H$3</f>
        <v>6170.3651284697644</v>
      </c>
    </row>
    <row r="8" spans="2:9" x14ac:dyDescent="0.25">
      <c r="B8">
        <v>50</v>
      </c>
      <c r="C8">
        <f>(Tabelle!$M$2/1000/'konstante Mengen'!B8+Tabelle!$M$3/100000)*'konstante Mengen'!$B$3</f>
        <v>813.65138866816949</v>
      </c>
      <c r="E8">
        <v>50</v>
      </c>
      <c r="F8">
        <f>(Tabelle!$M$2/1000/'konstante Mengen'!E8+Tabelle!$M$3/100000)*'konstante Mengen'!$E$3</f>
        <v>1898.5199068923955</v>
      </c>
      <c r="H8">
        <v>50</v>
      </c>
      <c r="I8">
        <f>(Tabelle!$M$2/1000/'konstante Mengen'!H8+Tabelle!$M$3/100000)*'konstante Mengen'!H$3</f>
        <v>3254.605554672678</v>
      </c>
    </row>
    <row r="9" spans="2:9" x14ac:dyDescent="0.25">
      <c r="B9">
        <v>75</v>
      </c>
      <c r="C9">
        <f>(Tabelle!$M$2/1000/'konstante Mengen'!B9+Tabelle!$M$3/100000)*'konstante Mengen'!$B$3</f>
        <v>570.67142418507899</v>
      </c>
      <c r="E9">
        <v>75</v>
      </c>
      <c r="F9">
        <f>(Tabelle!$M$2/1000/'konstante Mengen'!E9+Tabelle!$M$3/100000)*'konstante Mengen'!$E$3</f>
        <v>1331.566656431851</v>
      </c>
      <c r="H9">
        <v>75</v>
      </c>
      <c r="I9">
        <f>(Tabelle!$M$2/1000/'konstante Mengen'!H9+Tabelle!$M$3/100000)*'konstante Mengen'!H$3</f>
        <v>2282.685696740316</v>
      </c>
    </row>
    <row r="10" spans="2:9" x14ac:dyDescent="0.25">
      <c r="B10">
        <v>100</v>
      </c>
      <c r="C10">
        <f>(Tabelle!$M$2/1000/'konstante Mengen'!B10+Tabelle!$M$3/100000)*'konstante Mengen'!$B$3</f>
        <v>449.18144194353374</v>
      </c>
      <c r="E10">
        <v>100</v>
      </c>
      <c r="F10">
        <f>(Tabelle!$M$2/1000/'konstante Mengen'!E10+Tabelle!$M$3/100000)*'konstante Mengen'!$E$3</f>
        <v>1048.0900312015788</v>
      </c>
      <c r="H10">
        <v>100</v>
      </c>
      <c r="I10">
        <f>(Tabelle!$M$2/1000/'konstante Mengen'!H10+Tabelle!$M$3/100000)*'konstante Mengen'!H$3</f>
        <v>1796.725767774135</v>
      </c>
    </row>
    <row r="11" spans="2:9" x14ac:dyDescent="0.25">
      <c r="B11">
        <v>200</v>
      </c>
      <c r="C11">
        <f>(Tabelle!$M$2/1000/'konstante Mengen'!B11+Tabelle!$M$3/100000)*'konstante Mengen'!$B$3</f>
        <v>266.94646858121587</v>
      </c>
      <c r="E11">
        <v>200</v>
      </c>
      <c r="F11">
        <f>(Tabelle!$M$2/1000/'konstante Mengen'!E11+Tabelle!$M$3/100000)*'konstante Mengen'!$E$3</f>
        <v>622.87509335617028</v>
      </c>
      <c r="H11">
        <v>200</v>
      </c>
      <c r="I11">
        <f>(Tabelle!$M$2/1000/'konstante Mengen'!H11+Tabelle!$M$3/100000)*'konstante Mengen'!H$3</f>
        <v>1067.7858743248635</v>
      </c>
    </row>
    <row r="12" spans="2:9" x14ac:dyDescent="0.25">
      <c r="B12">
        <v>300</v>
      </c>
      <c r="C12">
        <f>(Tabelle!$M$2/1000/'konstante Mengen'!B12+Tabelle!$M$3/100000)*'konstante Mengen'!$B$3</f>
        <v>206.20147746044324</v>
      </c>
      <c r="E12">
        <v>300</v>
      </c>
      <c r="F12">
        <f>(Tabelle!$M$2/1000/'konstante Mengen'!E12+Tabelle!$M$3/100000)*'konstante Mengen'!$E$3</f>
        <v>481.13678074103422</v>
      </c>
      <c r="H12">
        <v>300</v>
      </c>
      <c r="I12">
        <f>(Tabelle!$M$2/1000/'konstante Mengen'!H12+Tabelle!$M$3/100000)*'konstante Mengen'!H$3</f>
        <v>824.80590984177297</v>
      </c>
    </row>
    <row r="13" spans="2:9" x14ac:dyDescent="0.25">
      <c r="B13">
        <v>400</v>
      </c>
      <c r="C13">
        <f>(Tabelle!$M$2/1000/'konstante Mengen'!B13+Tabelle!$M$3/100000)*'konstante Mengen'!$B$3</f>
        <v>175.8289819000569</v>
      </c>
      <c r="E13">
        <v>400</v>
      </c>
      <c r="F13">
        <f>(Tabelle!$M$2/1000/'konstante Mengen'!E13+Tabelle!$M$3/100000)*'konstante Mengen'!$E$3</f>
        <v>410.2676244334661</v>
      </c>
      <c r="H13">
        <v>400</v>
      </c>
      <c r="I13">
        <f>(Tabelle!$M$2/1000/'konstante Mengen'!H13+Tabelle!$M$3/100000)*'konstante Mengen'!H$3</f>
        <v>703.31592760022761</v>
      </c>
    </row>
    <row r="14" spans="2:9" x14ac:dyDescent="0.25">
      <c r="B14">
        <v>500</v>
      </c>
      <c r="C14">
        <f>(Tabelle!$M$2/1000/'konstante Mengen'!B14+Tabelle!$M$3/100000)*'konstante Mengen'!$B$3</f>
        <v>157.60548456382512</v>
      </c>
      <c r="E14">
        <v>500</v>
      </c>
      <c r="F14">
        <f>(Tabelle!$M$2/1000/'konstante Mengen'!E14+Tabelle!$M$3/100000)*'konstante Mengen'!$E$3</f>
        <v>367.74613064892526</v>
      </c>
      <c r="H14">
        <v>500</v>
      </c>
      <c r="I14">
        <f>(Tabelle!$M$2/1000/'konstante Mengen'!H14+Tabelle!$M$3/100000)*'konstante Mengen'!H$3</f>
        <v>630.42193825530046</v>
      </c>
    </row>
    <row r="15" spans="2:9" x14ac:dyDescent="0.25">
      <c r="B15">
        <v>750</v>
      </c>
      <c r="C15">
        <f>(Tabelle!$M$2/1000/'konstante Mengen'!B15+Tabelle!$M$3/100000)*'konstante Mengen'!$B$3</f>
        <v>133.30748811551607</v>
      </c>
      <c r="E15">
        <v>750</v>
      </c>
      <c r="F15">
        <f>(Tabelle!$M$2/1000/'konstante Mengen'!E15+Tabelle!$M$3/100000)*'konstante Mengen'!$E$3</f>
        <v>311.05080560287081</v>
      </c>
      <c r="H15">
        <v>750</v>
      </c>
      <c r="I15">
        <f>(Tabelle!$M$2/1000/'konstante Mengen'!H15+Tabelle!$M$3/100000)*'konstante Mengen'!H$3</f>
        <v>533.22995246206426</v>
      </c>
    </row>
    <row r="16" spans="2:9" x14ac:dyDescent="0.25">
      <c r="B16">
        <f>B14+500</f>
        <v>1000</v>
      </c>
      <c r="C16">
        <f>(Tabelle!$M$2/1000/'konstante Mengen'!B16+Tabelle!$M$3/100000)*'konstante Mengen'!$B$3</f>
        <v>121.15848989136154</v>
      </c>
      <c r="E16">
        <f>E14+500</f>
        <v>1000</v>
      </c>
      <c r="F16">
        <f>(Tabelle!$M$2/1000/'konstante Mengen'!E16+Tabelle!$M$3/100000)*'konstante Mengen'!$E$3</f>
        <v>282.70314307984358</v>
      </c>
      <c r="H16">
        <f>H14+500</f>
        <v>1000</v>
      </c>
      <c r="I16">
        <f>(Tabelle!$M$2/1000/'konstante Mengen'!H16+Tabelle!$M$3/100000)*'konstante Mengen'!H$3</f>
        <v>484.63395956544616</v>
      </c>
    </row>
    <row r="17" spans="2:9" x14ac:dyDescent="0.25">
      <c r="B17">
        <f t="shared" ref="B17:B30" si="0">B16+500</f>
        <v>1500</v>
      </c>
      <c r="C17">
        <f>(Tabelle!$M$2/1000/'konstante Mengen'!B17+Tabelle!$M$3/100000)*'konstante Mengen'!$B$3</f>
        <v>109.009491667207</v>
      </c>
      <c r="E17">
        <f t="shared" ref="E17:E30" si="1">E16+500</f>
        <v>1500</v>
      </c>
      <c r="F17">
        <f>(Tabelle!$M$2/1000/'konstante Mengen'!E17+Tabelle!$M$3/100000)*'konstante Mengen'!$E$3</f>
        <v>254.35548055681636</v>
      </c>
      <c r="H17">
        <f t="shared" ref="H17:H30" si="2">H16+500</f>
        <v>1500</v>
      </c>
      <c r="I17">
        <f>(Tabelle!$M$2/1000/'konstante Mengen'!H17+Tabelle!$M$3/100000)*'konstante Mengen'!H$3</f>
        <v>436.03796666882801</v>
      </c>
    </row>
    <row r="18" spans="2:9" x14ac:dyDescent="0.25">
      <c r="B18">
        <f t="shared" si="0"/>
        <v>2000</v>
      </c>
      <c r="C18">
        <f>(Tabelle!$M$2/1000/'konstante Mengen'!B18+Tabelle!$M$3/100000)*'konstante Mengen'!$B$3</f>
        <v>102.93499255512974</v>
      </c>
      <c r="E18">
        <f t="shared" si="1"/>
        <v>2000</v>
      </c>
      <c r="F18">
        <f>(Tabelle!$M$2/1000/'konstante Mengen'!E18+Tabelle!$M$3/100000)*'konstante Mengen'!$E$3</f>
        <v>240.18164929530272</v>
      </c>
      <c r="H18">
        <f t="shared" si="2"/>
        <v>2000</v>
      </c>
      <c r="I18">
        <f>(Tabelle!$M$2/1000/'konstante Mengen'!H18+Tabelle!$M$3/100000)*'konstante Mengen'!H$3</f>
        <v>411.73997022051896</v>
      </c>
    </row>
    <row r="19" spans="2:9" x14ac:dyDescent="0.25">
      <c r="B19">
        <f t="shared" si="0"/>
        <v>2500</v>
      </c>
      <c r="C19">
        <f>(Tabelle!$M$2/1000/'konstante Mengen'!B19+Tabelle!$M$3/100000)*'konstante Mengen'!$B$3</f>
        <v>99.290293087883384</v>
      </c>
      <c r="E19">
        <f t="shared" si="1"/>
        <v>2500</v>
      </c>
      <c r="F19">
        <f>(Tabelle!$M$2/1000/'konstante Mengen'!E19+Tabelle!$M$3/100000)*'konstante Mengen'!$E$3</f>
        <v>231.67735053839456</v>
      </c>
      <c r="H19">
        <f t="shared" si="2"/>
        <v>2500</v>
      </c>
      <c r="I19">
        <f>(Tabelle!$M$2/1000/'konstante Mengen'!H19+Tabelle!$M$3/100000)*'konstante Mengen'!H$3</f>
        <v>397.16117235153354</v>
      </c>
    </row>
    <row r="20" spans="2:9" x14ac:dyDescent="0.25">
      <c r="B20">
        <f t="shared" si="0"/>
        <v>3000</v>
      </c>
      <c r="C20">
        <f>(Tabelle!$M$2/1000/'konstante Mengen'!B20+Tabelle!$M$3/100000)*'konstante Mengen'!$B$3</f>
        <v>96.860493443052476</v>
      </c>
      <c r="E20">
        <f t="shared" si="1"/>
        <v>3000</v>
      </c>
      <c r="F20">
        <f>(Tabelle!$M$2/1000/'konstante Mengen'!E20+Tabelle!$M$3/100000)*'konstante Mengen'!$E$3</f>
        <v>226.00781803378914</v>
      </c>
      <c r="H20">
        <f t="shared" si="2"/>
        <v>3000</v>
      </c>
      <c r="I20">
        <f>(Tabelle!$M$2/1000/'konstante Mengen'!H20+Tabelle!$M$3/100000)*'konstante Mengen'!H$3</f>
        <v>387.44197377220991</v>
      </c>
    </row>
    <row r="21" spans="2:9" x14ac:dyDescent="0.25">
      <c r="B21">
        <f t="shared" si="0"/>
        <v>3500</v>
      </c>
      <c r="C21">
        <f>(Tabelle!$M$2/1000/'konstante Mengen'!B21+Tabelle!$M$3/100000)*'konstante Mengen'!$B$3</f>
        <v>95.12492226817325</v>
      </c>
      <c r="E21">
        <f t="shared" si="1"/>
        <v>3500</v>
      </c>
      <c r="F21">
        <f>(Tabelle!$M$2/1000/'konstante Mengen'!E21+Tabelle!$M$3/100000)*'konstante Mengen'!$E$3</f>
        <v>221.95815195907093</v>
      </c>
      <c r="H21">
        <f t="shared" si="2"/>
        <v>3500</v>
      </c>
      <c r="I21">
        <f>(Tabelle!$M$2/1000/'konstante Mengen'!H21+Tabelle!$M$3/100000)*'konstante Mengen'!H$3</f>
        <v>380.499689072693</v>
      </c>
    </row>
    <row r="22" spans="2:9" x14ac:dyDescent="0.25">
      <c r="B22">
        <f t="shared" si="0"/>
        <v>4000</v>
      </c>
      <c r="C22">
        <f>(Tabelle!$M$2/1000/'konstante Mengen'!B22+Tabelle!$M$3/100000)*'konstante Mengen'!$B$3</f>
        <v>93.823243887013859</v>
      </c>
      <c r="E22">
        <f t="shared" si="1"/>
        <v>4000</v>
      </c>
      <c r="F22">
        <f>(Tabelle!$M$2/1000/'konstante Mengen'!E22+Tabelle!$M$3/100000)*'konstante Mengen'!$E$3</f>
        <v>218.92090240303233</v>
      </c>
      <c r="H22">
        <f t="shared" si="2"/>
        <v>4000</v>
      </c>
      <c r="I22">
        <f>(Tabelle!$M$2/1000/'konstante Mengen'!H22+Tabelle!$M$3/100000)*'konstante Mengen'!H$3</f>
        <v>375.29297554805544</v>
      </c>
    </row>
    <row r="23" spans="2:9" x14ac:dyDescent="0.25">
      <c r="B23">
        <f t="shared" si="0"/>
        <v>4500</v>
      </c>
      <c r="C23">
        <f>(Tabelle!$M$2/1000/'konstante Mengen'!B23+Tabelle!$M$3/100000)*'konstante Mengen'!$B$3</f>
        <v>92.810827368334301</v>
      </c>
      <c r="E23">
        <f t="shared" si="1"/>
        <v>4500</v>
      </c>
      <c r="F23">
        <f>(Tabelle!$M$2/1000/'konstante Mengen'!E23+Tabelle!$M$3/100000)*'konstante Mengen'!$E$3</f>
        <v>216.55859719278004</v>
      </c>
      <c r="H23">
        <f t="shared" si="2"/>
        <v>4500</v>
      </c>
      <c r="I23">
        <f>(Tabelle!$M$2/1000/'konstante Mengen'!H23+Tabelle!$M$3/100000)*'konstante Mengen'!H$3</f>
        <v>371.24330947333721</v>
      </c>
    </row>
    <row r="24" spans="2:9" x14ac:dyDescent="0.25">
      <c r="B24">
        <f t="shared" si="0"/>
        <v>5000</v>
      </c>
      <c r="C24">
        <f>(Tabelle!$M$2/1000/'konstante Mengen'!B24+Tabelle!$M$3/100000)*'konstante Mengen'!$B$3</f>
        <v>92.000894153390675</v>
      </c>
      <c r="E24">
        <f t="shared" si="1"/>
        <v>5000</v>
      </c>
      <c r="F24">
        <f>(Tabelle!$M$2/1000/'konstante Mengen'!E24+Tabelle!$M$3/100000)*'konstante Mengen'!$E$3</f>
        <v>214.66875302457825</v>
      </c>
      <c r="H24">
        <f t="shared" si="2"/>
        <v>5000</v>
      </c>
      <c r="I24">
        <f>(Tabelle!$M$2/1000/'konstante Mengen'!H24+Tabelle!$M$3/100000)*'konstante Mengen'!H$3</f>
        <v>368.0035766135627</v>
      </c>
    </row>
    <row r="25" spans="2:9" x14ac:dyDescent="0.25">
      <c r="B25">
        <f t="shared" si="0"/>
        <v>5500</v>
      </c>
      <c r="C25">
        <f>(Tabelle!$M$2/1000/'konstante Mengen'!B25+Tabelle!$M$3/100000)*'konstante Mengen'!$B$3</f>
        <v>91.338221522982238</v>
      </c>
      <c r="E25">
        <f t="shared" si="1"/>
        <v>5500</v>
      </c>
      <c r="F25">
        <f>(Tabelle!$M$2/1000/'konstante Mengen'!E25+Tabelle!$M$3/100000)*'konstante Mengen'!$E$3</f>
        <v>213.12251688695855</v>
      </c>
      <c r="H25">
        <f t="shared" si="2"/>
        <v>5500</v>
      </c>
      <c r="I25">
        <f>(Tabelle!$M$2/1000/'konstante Mengen'!H25+Tabelle!$M$3/100000)*'konstante Mengen'!H$3</f>
        <v>365.35288609192895</v>
      </c>
    </row>
    <row r="26" spans="2:9" x14ac:dyDescent="0.25">
      <c r="B26">
        <f t="shared" si="0"/>
        <v>6000</v>
      </c>
      <c r="C26">
        <f>(Tabelle!$M$2/1000/'konstante Mengen'!B26+Tabelle!$M$3/100000)*'konstante Mengen'!$B$3</f>
        <v>90.785994330975214</v>
      </c>
      <c r="E26">
        <f t="shared" si="1"/>
        <v>6000</v>
      </c>
      <c r="F26">
        <f>(Tabelle!$M$2/1000/'konstante Mengen'!E26+Tabelle!$M$3/100000)*'konstante Mengen'!$E$3</f>
        <v>211.83398677227552</v>
      </c>
      <c r="H26">
        <f t="shared" si="2"/>
        <v>6000</v>
      </c>
      <c r="I26">
        <f>(Tabelle!$M$2/1000/'konstante Mengen'!H26+Tabelle!$M$3/100000)*'konstante Mengen'!H$3</f>
        <v>363.14397732390086</v>
      </c>
    </row>
    <row r="27" spans="2:9" x14ac:dyDescent="0.25">
      <c r="B27">
        <f t="shared" si="0"/>
        <v>6500</v>
      </c>
      <c r="C27">
        <f>(Tabelle!$M$2/1000/'konstante Mengen'!B27+Tabelle!$M$3/100000)*'konstante Mengen'!$B$3</f>
        <v>90.31872516850774</v>
      </c>
      <c r="E27">
        <f t="shared" si="1"/>
        <v>6500</v>
      </c>
      <c r="F27">
        <f>(Tabelle!$M$2/1000/'konstante Mengen'!E27+Tabelle!$M$3/100000)*'konstante Mengen'!$E$3</f>
        <v>210.74369205985138</v>
      </c>
      <c r="H27">
        <f t="shared" si="2"/>
        <v>6500</v>
      </c>
      <c r="I27">
        <f>(Tabelle!$M$2/1000/'konstante Mengen'!H27+Tabelle!$M$3/100000)*'konstante Mengen'!H$3</f>
        <v>361.27490067403096</v>
      </c>
    </row>
    <row r="28" spans="2:9" x14ac:dyDescent="0.25">
      <c r="B28">
        <f t="shared" si="0"/>
        <v>7000</v>
      </c>
      <c r="C28">
        <f>(Tabelle!$M$2/1000/'konstante Mengen'!B28+Tabelle!$M$3/100000)*'konstante Mengen'!$B$3</f>
        <v>89.918208743535601</v>
      </c>
      <c r="E28">
        <f t="shared" si="1"/>
        <v>7000</v>
      </c>
      <c r="F28">
        <f>(Tabelle!$M$2/1000/'konstante Mengen'!E28+Tabelle!$M$3/100000)*'konstante Mengen'!$E$3</f>
        <v>209.80915373491641</v>
      </c>
      <c r="H28">
        <f t="shared" si="2"/>
        <v>7000</v>
      </c>
      <c r="I28">
        <f>(Tabelle!$M$2/1000/'konstante Mengen'!H28+Tabelle!$M$3/100000)*'konstante Mengen'!H$3</f>
        <v>359.6728349741424</v>
      </c>
    </row>
    <row r="29" spans="2:9" x14ac:dyDescent="0.25">
      <c r="B29">
        <f t="shared" si="0"/>
        <v>7500</v>
      </c>
      <c r="C29">
        <f>(Tabelle!$M$2/1000/'konstante Mengen'!B29+Tabelle!$M$3/100000)*'konstante Mengen'!$B$3</f>
        <v>89.571094508559767</v>
      </c>
      <c r="E29">
        <f t="shared" si="1"/>
        <v>7500</v>
      </c>
      <c r="F29">
        <f>(Tabelle!$M$2/1000/'konstante Mengen'!E29+Tabelle!$M$3/100000)*'konstante Mengen'!$E$3</f>
        <v>208.99922051997279</v>
      </c>
      <c r="H29">
        <f t="shared" si="2"/>
        <v>7500</v>
      </c>
      <c r="I29">
        <f>(Tabelle!$M$2/1000/'konstante Mengen'!H29+Tabelle!$M$3/100000)*'konstante Mengen'!H$3</f>
        <v>358.28437803423907</v>
      </c>
    </row>
    <row r="30" spans="2:9" x14ac:dyDescent="0.25">
      <c r="B30">
        <f t="shared" si="0"/>
        <v>8000</v>
      </c>
      <c r="C30">
        <f>(Tabelle!$M$2/1000/'konstante Mengen'!B30+Tabelle!$M$3/100000)*'konstante Mengen'!$B$3</f>
        <v>89.267369552955898</v>
      </c>
      <c r="E30">
        <f t="shared" si="1"/>
        <v>8000</v>
      </c>
      <c r="F30">
        <f>(Tabelle!$M$2/1000/'konstante Mengen'!E30+Tabelle!$M$3/100000)*'konstante Mengen'!$E$3</f>
        <v>208.29052895689711</v>
      </c>
      <c r="H30">
        <f t="shared" si="2"/>
        <v>8000</v>
      </c>
      <c r="I30">
        <f>(Tabelle!$M$2/1000/'konstante Mengen'!H30+Tabelle!$M$3/100000)*'konstante Mengen'!H$3</f>
        <v>357.06947821182359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Tabelle</vt:lpstr>
      <vt:lpstr>Konstanten</vt:lpstr>
      <vt:lpstr>konstante Mengen</vt:lpstr>
      <vt:lpstr>Diagramm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2019-03-29T11:41:32Z</dcterms:modified>
</cp:coreProperties>
</file>